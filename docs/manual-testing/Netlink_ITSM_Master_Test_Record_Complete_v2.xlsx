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bookViews>
  <sheets>
    <sheet sheetId="1" name="Master Test Record" state="visible" r:id="rId4"/>
    <sheet sheetId="2" name="Known Issues &amp; Setup" state="visible" r:id="rId5"/>
  </sheets>
  <definedNames>
    <definedName name="_xlnm._FilterDatabase">'Master Test Record'!$A$8:$K$96</definedName>
  </definedNames>
  <calcPr calcId="171027"/>
</workbook>
</file>

<file path=xl/sharedStrings.xml><?xml version="1.0" encoding="utf-8"?>
<sst xmlns="http://schemas.openxmlformats.org/spreadsheetml/2006/main" count="1775" uniqueCount="1053">
  <si>
    <t>NETLINK SUPPORT — MASTER QA TEST EXECUTION &amp; VERIFICATION RECORD</t>
  </si>
  <si>
    <t>Complete Verification Matrix strictly mirroring Sections 1 to 23 of the Test Specification</t>
  </si>
  <si>
    <t>Application:</t>
  </si>
  <si>
    <t>Netlink Support (ITSM)</t>
  </si>
  <si>
    <t>Environment:</t>
  </si>
  <si>
    <t>Deployed Version / Dual-Runtime</t>
  </si>
  <si>
    <t>Test Lead:</t>
  </si>
  <si>
    <t>Senior QA Engineer</t>
  </si>
  <si>
    <t>Total Tests:</t>
  </si>
  <si>
    <t>Execution Scope:</t>
  </si>
  <si>
    <t>Full Verification (Normal, Edge, Security, Concurrency)</t>
  </si>
  <si>
    <t>Execution Date:</t>
  </si>
  <si>
    <t>October 2026</t>
  </si>
  <si>
    <t>Passed:</t>
  </si>
  <si>
    <t>Failed:</t>
  </si>
  <si>
    <t>Defect Standard:</t>
  </si>
  <si>
    <t>P0 (Critical) to P3 (Low) Taxonomies</t>
  </si>
  <si>
    <t>Persistence Mode:</t>
  </si>
  <si>
    <t>Dual (PostgreSQL / JSON Store)</t>
  </si>
  <si>
    <t>Blocked:</t>
  </si>
  <si>
    <t>Not Run:</t>
  </si>
  <si>
    <t>Summary counts only test rows (TC-*). Re-verification in columns L–M was run on branch 48cfff5 (13-Oct-2026). Column I (manual status) is unchanged.</t>
  </si>
  <si>
    <t>In Progress:</t>
  </si>
  <si>
    <t>Test ID</t>
  </si>
  <si>
    <t>Section / Category</t>
  </si>
  <si>
    <t>Test Scenario / Variation</t>
  </si>
  <si>
    <t>Preconditions &amp; Test Setup</t>
  </si>
  <si>
    <t>Execution Steps</t>
  </si>
  <si>
    <t>Expected Result</t>
  </si>
  <si>
    <t>Severity / Priority</t>
  </si>
  <si>
    <t>Environment / Role</t>
  </si>
  <si>
    <t>Status</t>
  </si>
  <si>
    <t>Tested By</t>
  </si>
  <si>
    <t>Defect ID / Actual Notes</t>
  </si>
  <si>
    <t>Re-verification (13-Oct-2026, branch 48cfff5)</t>
  </si>
  <si>
    <t>Evidence from live run (API / browser / unit tests)</t>
  </si>
  <si>
    <t>Section 1: TEST SETUP &amp; ENVIRONMENT READINESS</t>
  </si>
  <si>
    <t>TC-SET-01</t>
  </si>
  <si>
    <t>1. Setup - Personas</t>
  </si>
  <si>
    <t>Verify 7 required test accounts and roles exist</t>
  </si>
  <si>
    <t>Target deployment accessible</t>
  </si>
  <si>
    <t>1. Verify login/access for: Requester, Service Desk Agent, Dept Agent 1, Dept Agent 2, Manager, Senior RM, and Admin.</t>
  </si>
  <si>
    <t>All 7 test accounts are active, authenticate properly, and possess correct role permissions.</t>
  </si>
  <si>
    <t>P0</t>
  </si>
  <si>
    <t>Admin</t>
  </si>
  <si>
    <t>Passed</t>
  </si>
  <si>
    <t>Confirmed</t>
  </si>
  <si>
    <t>active roles: requester=4, agent=4 (Anita Desai, Arjun Mehta, Luis Moreno, Sarah Johnson), manager=Meera Nair, tenant_admin=Priya Sharma. Senior RM is a bucket owner setting, not a role.</t>
  </si>
  <si>
    <t>TC-SET-02</t>
  </si>
  <si>
    <t>1. Setup - Buckets</t>
  </si>
  <si>
    <t>Verify 1 Service Desk bucket &amp; 1-2 Department buckets configured</t>
  </si>
  <si>
    <t>Admin access to queue/routing settings</t>
  </si>
  <si>
    <t xml:space="preserve">1. Check queue configuration.
2. Verify Service Desk bucket exists.
3. Verify at least 1-2 Department buckets exist.</t>
  </si>
  <si>
    <t>Service Desk review bucket and technical department queues (e.g., Network, SysAdmin) are properly initialized.</t>
  </si>
  <si>
    <t>Not Run</t>
  </si>
  <si>
    <t>Workflow settings: 1 service-desk bucket + department buckets (Network Operations, Access &amp; Identity) configured and enabled.</t>
  </si>
  <si>
    <t>TC-SET-03</t>
  </si>
  <si>
    <t>1. Setup - Escalation &amp; Timers</t>
  </si>
  <si>
    <t>Configure short SLA timings (2-5 min) &amp; working calendars</t>
  </si>
  <si>
    <t>SLA policy editor accessible in Settings</t>
  </si>
  <si>
    <t xml:space="preserve">1. Configure working hours.
2. Set pickup SLA to 2-5 min for escalation verification.
3. Assign Manager and Senior RM.</t>
  </si>
  <si>
    <t>Short SLA timers and working calendar active; ready for deterministic escalation testing.</t>
  </si>
  <si>
    <t>P1</t>
  </si>
  <si>
    <t>Not testable here</t>
  </si>
  <si>
    <t>Needs the SLA policy editor and a 2-5 minute pickup timer. The sweep check (MGR-01) below uses a 1-minute stage instead.</t>
  </si>
  <si>
    <t>Section 2: WHO &amp; WHERE / REQUESTER SELECTION</t>
  </si>
  <si>
    <t>TC-WHO-01</t>
  </si>
  <si>
    <t>2.1 Search User</t>
  </si>
  <si>
    <t>Select user from searchable Who/Requester field</t>
  </si>
  <si>
    <t>Active users present in directory; Agent on Create Ticket</t>
  </si>
  <si>
    <t xml:space="preserve">1. Open Create Ticket.
2. Open Who/Requester field.
3. Search for existing active user.
4. Select user and create ticket.</t>
  </si>
  <si>
    <t>User appears in search; correct user selectable; ticket logs with correct requester.</t>
  </si>
  <si>
    <t>Service Desk Agent</t>
  </si>
  <si>
    <t>Full name, first, last, partial and email searches all return Dana Lee.</t>
  </si>
  <si>
    <t>TC-WHO-02</t>
  </si>
  <si>
    <t>2.2 Search Variations</t>
  </si>
  <si>
    <t>Search by First, Last, Partial name, Email, Partial email</t>
  </si>
  <si>
    <t>Multiple test users in directory with distinct names &amp; domains</t>
  </si>
  <si>
    <t xml:space="preserve">1. Test searching by First Name.
2. Last Name.
3. Partial Name.
4. Email.
5. Partial Email.</t>
  </si>
  <si>
    <t>Correct matching users are returned reliably across all search variants.</t>
  </si>
  <si>
    <t>P2</t>
  </si>
  <si>
    <t>Search variants (first, last, partial name, email, partial email) each return the user.</t>
  </si>
  <si>
    <t>TC-WHO-03</t>
  </si>
  <si>
    <t>2.3 Inactive User</t>
  </si>
  <si>
    <t>Exclude deactivated/disabled user accounts from selection</t>
  </si>
  <si>
    <t>Deactivated test account exists in system</t>
  </si>
  <si>
    <t xml:space="preserve">1. Deactivate a test user.
2. Search for that user in Who field.</t>
  </si>
  <si>
    <t>Inactive user does not appear in search or is blocked from selection.</t>
  </si>
  <si>
    <t>deactivated user returned in search results: 0</t>
  </si>
  <si>
    <t>TC-WHO-04</t>
  </si>
  <si>
    <t>2.4 Unauthorized Tenant</t>
  </si>
  <si>
    <t>Cross-tenant requester directory isolation</t>
  </si>
  <si>
    <t>Multi-tenant setup (Tenant A and Tenant B present)</t>
  </si>
  <si>
    <t xml:space="preserve">1. Log in as Tenant A.
2. Search for a Tenant B user in requester field.</t>
  </si>
  <si>
    <t>Tenant B user must NOT appear in search results.</t>
  </si>
  <si>
    <t>Tenant A Agent</t>
  </si>
  <si>
    <t>Org B admin (tenant tenant_ca4c2dae251740fc8e4d) searching "Dana": 0 results; Org B directory: Org B Agent</t>
  </si>
  <si>
    <t>Section 3: AI PRIORITY &amp; URGENCY</t>
  </si>
  <si>
    <t>TC-AIP-01</t>
  </si>
  <si>
    <t>3.1 Normal Request</t>
  </si>
  <si>
    <t>Priority calculation on routine service request</t>
  </si>
  <si>
    <t>Intake triage rules active</t>
  </si>
  <si>
    <t xml:space="preserve">1. Create ticket: 'I need help installing software on my laptop.'
2. Do not select priority manually.</t>
  </si>
  <si>
    <t>System automatically sets Normal/low urgency and priority as appropriate (P4/P5).</t>
  </si>
  <si>
    <t>Requester</t>
  </si>
  <si>
    <t>Mismatch</t>
  </si>
  <si>
    <t>rules fallback gives priority=medium, urgency=medium; record expects P4/P5. Result depends on the AI provider (not configured here).</t>
  </si>
  <si>
    <t>TC-AIP-02</t>
  </si>
  <si>
    <t>3.2 Important Issue</t>
  </si>
  <si>
    <t>Priority calculation on degraded individual work</t>
  </si>
  <si>
    <t>1. Create ticket: 'My laptop is frequently crashing and this is affecting my work.'</t>
  </si>
  <si>
    <t>System derives higher urgency and priority than a normal request (P3).</t>
  </si>
  <si>
    <t>priority=medium (expected P3 = medium)</t>
  </si>
  <si>
    <t>TC-AIP-03</t>
  </si>
  <si>
    <t>3.3 Critical Issue</t>
  </si>
  <si>
    <t>Priority calculation on wide production outage</t>
  </si>
  <si>
    <t>1. Create ticket: 'The production application is completely down and the entire team is unable to work.'</t>
  </si>
  <si>
    <t>System derives High/critical priority and urgency automatically (P1).</t>
  </si>
  <si>
    <t>priority=critical, impact=high, urgency=high; factors=</t>
  </si>
  <si>
    <t>TC-AIP-04</t>
  </si>
  <si>
    <t>3.4 Security Issue</t>
  </si>
  <si>
    <t>Priority calculation on account compromise / breach</t>
  </si>
  <si>
    <t>1. Create ticket: 'I believe my account has been compromised and someone has accessed it without authorization.'</t>
  </si>
  <si>
    <t>System sets High urgency / priority as appropriate (P1/P2).</t>
  </si>
  <si>
    <t>priority=high; factors=Possible security incident</t>
  </si>
  <si>
    <t>TC-AIP-05</t>
  </si>
  <si>
    <t>3.5 Missing Priority</t>
  </si>
  <si>
    <t>Automatic default derivation when priority is omitted</t>
  </si>
  <si>
    <t>Manual ticket creation modal</t>
  </si>
  <si>
    <t>1. Submit ticket leaving priority field completely blank.</t>
  </si>
  <si>
    <t>System automatically calculates priority without error.</t>
  </si>
  <si>
    <t>Agent</t>
  </si>
  <si>
    <t>This does happen automatically only.</t>
  </si>
  <si>
    <t>ticket created without priority; derived priority=medium, no error</t>
  </si>
  <si>
    <t>TC-AIP-06</t>
  </si>
  <si>
    <t>3.6 Priority Refresh</t>
  </si>
  <si>
    <t>Priority persistence after browser refresh and reload</t>
  </si>
  <si>
    <t>Ticket created with AI-calculated priority</t>
  </si>
  <si>
    <t xml:space="preserve">1. Refresh page.
2. Reopen ticket detail view.</t>
  </si>
  <si>
    <t>Calculated priority and urgency remain correct.</t>
  </si>
  <si>
    <t>priority after re-read=medium (created as medium)</t>
  </si>
  <si>
    <t>Section 4: AGENT AVAILABILITY &amp; WORKLOAD</t>
  </si>
  <si>
    <t>TC-AVL-01</t>
  </si>
  <si>
    <t>4.1 Available Agent</t>
  </si>
  <si>
    <t>Agent workload below capacity threshold</t>
  </si>
  <si>
    <t>Capacity = 5, Active assigned tickets = 2</t>
  </si>
  <si>
    <t>1. View agent presence in triage board or dispatch drawer.</t>
  </si>
  <si>
    <t>Agent shows Available.</t>
  </si>
  <si>
    <t>Partially verified</t>
  </si>
  <si>
    <t>Without working hours the status is 'unconfigured' ('Working hours are not configured.'), so 'Available' only appears after hours are set (KI-02). With working hours: available (2/5).</t>
  </si>
  <si>
    <t>TC-AVL-02</t>
  </si>
  <si>
    <t>4.2 Busy Agent</t>
  </si>
  <si>
    <t>Agent workload at capacity threshold</t>
  </si>
  <si>
    <t>Capacity = 5, Active assigned tickets = 5</t>
  </si>
  <si>
    <t>1. Check agent status when all 5 ticket slots are occupied.</t>
  </si>
  <si>
    <t>Agent shows Busy / unavailable.</t>
  </si>
  <si>
    <t>Failed</t>
  </si>
  <si>
    <t>Even after assigning 5 tickets to Arjun Mehta he is shown as Available.</t>
  </si>
  <si>
    <t>Demo tenant already had 2 open tickets for Arjun. Accepted pickups: 2 → available 4/5; 3 → busy 5/5 (capacity reached). 5 accepted → busy 7/5.</t>
  </si>
  <si>
    <t>TC-AVL-03</t>
  </si>
  <si>
    <t>4.3 Capacity Reached</t>
  </si>
  <si>
    <t>Dynamic status transition on reaching capacity</t>
  </si>
  <si>
    <t>Agent starts with 4 tickets (capacity = 5)</t>
  </si>
  <si>
    <t>1. Add tickets until agent reaches capacity.</t>
  </si>
  <si>
    <t>Availability changes accordingly to Busy/Unavailable.</t>
  </si>
  <si>
    <t>Status changes at capacity: available at 4/5, busy at 5/5 after the third accepted pickup (baseline of 2 pre-existing tickets). First pass compared the wrong step.</t>
  </si>
  <si>
    <t>TC-AVL-04</t>
  </si>
  <si>
    <t>4.4 Ticket Completion</t>
  </si>
  <si>
    <t>Dynamic status transition on ticket completion</t>
  </si>
  <si>
    <t>Agent has 5 tickets (Busy)</t>
  </si>
  <si>
    <t xml:space="preserve">1. Resolve/close 1 active ticket.
2. Re-check agent status.</t>
  </si>
  <si>
    <t>Workload decreases; availability updates accordingly.</t>
  </si>
  <si>
    <t>Department Agent</t>
  </si>
  <si>
    <t>In Progress</t>
  </si>
  <si>
    <t>Will depend on status changing after a limit load but currently cant test.</t>
  </si>
  <si>
    <t>Resolve returned 200; open load fell 7/5 → 6/5. Still over capacity, so status stays busy until load is at or under 5.</t>
  </si>
  <si>
    <t>TC-AVL-05</t>
  </si>
  <si>
    <t>4.5 Outside Hours</t>
  </si>
  <si>
    <t>Agent availability outside configured working hours</t>
  </si>
  <si>
    <t>Working hours configured (e.g., 09:00 - 18:00)</t>
  </si>
  <si>
    <t>1. Test agent availability outside configured working hours.</t>
  </si>
  <si>
    <t>Agent shows Off Shift / unavailable.</t>
  </si>
  <si>
    <t>Dispatcher</t>
  </si>
  <si>
    <t>Working hours concept not yet implemented as of my knowledge. However it did assign ticket to a deactivated worker/user.</t>
  </si>
  <si>
    <t>outside working hours: sarah status=off_shift ("Outside working hours (0:00–1:00 UTC) or a holiday.")</t>
  </si>
  <si>
    <t>TC-AVL-06</t>
  </si>
  <si>
    <t>4.6 Holiday Calendar</t>
  </si>
  <si>
    <t>Agent availability during configured company holiday</t>
  </si>
  <si>
    <t>Company holiday calendar configured in Admin settings</t>
  </si>
  <si>
    <t xml:space="preserve">1. Configure/use a holiday if possible.
2. Check agent status.</t>
  </si>
  <si>
    <t>set current day as holiday in admin callender option but still everything remained same.</t>
  </si>
  <si>
    <t>holiday 2026-10-13 configured: luis status=off_shift ("Outside working hours (0:00–23:00 UTC) or a holiday.")</t>
  </si>
  <si>
    <t>TC-AVL-07</t>
  </si>
  <si>
    <t>4.7 Manual Override</t>
  </si>
  <si>
    <t>Manual availability setting (Busy / Away / Available)</t>
  </si>
  <si>
    <t>Agent logged in to /profile</t>
  </si>
  <si>
    <t>1. Manually set agent status to: Busy, Away, Available.</t>
  </si>
  <si>
    <t>Correct status appears across the system.</t>
  </si>
  <si>
    <t>Set Arjun as Busy for 60 minutes but nothing changed in bucket or triage page, he was still shown as available.</t>
  </si>
  <si>
    <t>busy override for 60 min by arjun (200): status=busy ("Timed busy override.")</t>
  </si>
  <si>
    <t>TC-AVL-08</t>
  </si>
  <si>
    <t>4.8 Expiring Override</t>
  </si>
  <si>
    <t>Temporary availability override auto-reversion</t>
  </si>
  <si>
    <t>Temporary override feature enabled</t>
  </si>
  <si>
    <t xml:space="preserve">1. Set Busy/Away with expiry.
2. Wait until expiry.</t>
  </si>
  <si>
    <t>System returns to normal automatic availability.</t>
  </si>
  <si>
    <t>Meera override away: during=away ("Timed away override."), 4.5 s later=unconfigured ("Working hours are not configured.")</t>
  </si>
  <si>
    <t>Section 5: MICROSOFT TEAMS AVAILABILITY</t>
  </si>
  <si>
    <t>TC-TMS-01</t>
  </si>
  <si>
    <t>5.1 Teams Presence</t>
  </si>
  <si>
    <t>Teams presence sync (Available / Busy / Away)</t>
  </si>
  <si>
    <t>Teams integration configured (if not, mark BLOCKED)</t>
  </si>
  <si>
    <t xml:space="preserve">1. Change agent Teams presence (Available/Busy/Away).
2. Refresh app.
3. Check availability.</t>
  </si>
  <si>
    <t>Application reflects fresh Teams presence.</t>
  </si>
  <si>
    <t>NA currently</t>
  </si>
  <si>
    <t>Teams integration not configured (teamsConfigured=false); record marks NA.</t>
  </si>
  <si>
    <t>TC-TMS-02</t>
  </si>
  <si>
    <t>5.2 Stale Presence Fallback</t>
  </si>
  <si>
    <t>Fallback to internal availability on stale Teams token</t>
  </si>
  <si>
    <t>Teams integration configured</t>
  </si>
  <si>
    <t>1. Disconnect or test stale Teams presence.</t>
  </si>
  <si>
    <t>System falls back safely to internal/in-app availability without crashing.</t>
  </si>
  <si>
    <t>Needs a configured Teams tenant and a stale presence token.</t>
  </si>
  <si>
    <t>Section 6: SERVICE DESK TRIAGE</t>
  </si>
  <si>
    <t>TC-TRG-01</t>
  </si>
  <si>
    <t>6.1 New Ticket Triage</t>
  </si>
  <si>
    <t>Intake ticket lands in Service Desk common bucket</t>
  </si>
  <si>
    <t>Modern bucket workflow enabled</t>
  </si>
  <si>
    <t>1. Create new Incident / Service Request via /portal.</t>
  </si>
  <si>
    <t>Requester -&gt; Service Desk Bucket -&gt; Awaiting Review.</t>
  </si>
  <si>
    <t>it creates a request and then shows excalated in it status instead of awaiting review as it should as i presume.</t>
  </si>
  <si>
    <t>Not reproduced</t>
  </si>
  <si>
    <t>new ticket: phase=service_desk, group=grp_service_desk, status=open (record says it shows "escalated")</t>
  </si>
  <si>
    <t>TC-TRG-02</t>
  </si>
  <si>
    <t>6.2 Claim Review</t>
  </si>
  <si>
    <t>Service Desk agent claims ticket review</t>
  </si>
  <si>
    <t>Ticket in Service Desk Bucket</t>
  </si>
  <si>
    <t xml:space="preserve">1. Service Desk agent opens ticket.
2. Click 'Claim Review'.</t>
  </si>
  <si>
    <t>Reviewer is recorded; ticket moves into review state.</t>
  </si>
  <si>
    <t>Deactivated person is visible in Assignee List. and no option for other user other than admin access.</t>
  </si>
  <si>
    <t>Claim review works for a desk member (200). Defect: a deactivated user (Anita Desai) is still returned by GET /users; the ticket page assignee dropdown uses that list with no active filter (src/app/tickets/[id]/page.tsx:85; TicketProperties.tsx agents filter). See KI-01.</t>
  </si>
  <si>
    <t>TC-TRG-03</t>
  </si>
  <si>
    <t>6.3 Route Ticket</t>
  </si>
  <si>
    <t>Service Desk agent routes ticket to Department</t>
  </si>
  <si>
    <t>Ticket claimed in Service Desk review</t>
  </si>
  <si>
    <t>1. Service Desk agent routes ticket to correct department.</t>
  </si>
  <si>
    <t>Ticket leaves Service Desk; appears in Department Bucket; correct department shown.</t>
  </si>
  <si>
    <t>route to Network Operations: 200, phase=department</t>
  </si>
  <si>
    <t>TC-TRG-04</t>
  </si>
  <si>
    <t>6.4 Wrong Department Route</t>
  </si>
  <si>
    <t>Validation when routing to wrong department</t>
  </si>
  <si>
    <t>Ticket in Service Desk review</t>
  </si>
  <si>
    <t>1. Route ticket to an incorrect department if possible.</t>
  </si>
  <si>
    <t>Verify whether system allows/blocks according to configured rules; record behavior.</t>
  </si>
  <si>
    <t>route to a group that is not a configured department bucket: 400 Choose a configured department bucket.</t>
  </si>
  <si>
    <t>Section 7: AGENT PICKUP &amp; ASSIGNMENT</t>
  </si>
  <si>
    <t>TC-PCK-01</t>
  </si>
  <si>
    <t>7.1 Agent Pickup</t>
  </si>
  <si>
    <t>Department agent picks up ticket from Department Bucket</t>
  </si>
  <si>
    <t>Ticket in Department Bucket</t>
  </si>
  <si>
    <t>1. From Department Bucket, agent clicks 'Pick Up Ticket'.</t>
  </si>
  <si>
    <t>Agent becomes associated with ticket; correct workflow state appears.</t>
  </si>
  <si>
    <t>Department Agent 1</t>
  </si>
  <si>
    <t>pickup by member: 200, assignee=user_arjun</t>
  </si>
  <si>
    <t>TC-PCK-02</t>
  </si>
  <si>
    <t>7.2 Accept Assignment</t>
  </si>
  <si>
    <t>Agent formally accepts assigned/offered ticket</t>
  </si>
  <si>
    <t>Ticket offered to agent</t>
  </si>
  <si>
    <t>1. Click 'Accept Assignment'.</t>
  </si>
  <si>
    <t>Assignment becomes accepted; agent can work on ticket.</t>
  </si>
  <si>
    <t>No option as such accept or decline.</t>
  </si>
  <si>
    <t>offer 200; accept 200, status=in_progress. Accept button is rendered for the assignee in awaiting_acceptance (BucketWorkspace.tsx).</t>
  </si>
  <si>
    <t>TC-PCK-03</t>
  </si>
  <si>
    <t>7.3 Agent Decline</t>
  </si>
  <si>
    <t>Agent declines assignment with mandatory reason</t>
  </si>
  <si>
    <t xml:space="preserve">1. Agent clicks Decline.
2. Enter decline reason.</t>
  </si>
  <si>
    <t>Ticket returns to Department Bucket; assignment updated; decline reason recorded.</t>
  </si>
  <si>
    <t>decline without reason 400; with reason 200, phase=department</t>
  </si>
  <si>
    <t>TC-PCK-04</t>
  </si>
  <si>
    <t>7.4 Release Ticket</t>
  </si>
  <si>
    <t>Agent releases assigned ticket back to department</t>
  </si>
  <si>
    <t>Ticket assigned to agent</t>
  </si>
  <si>
    <t>1. Agent releases assigned ticket.</t>
  </si>
  <si>
    <t>Ticket returns to department queue; assignment updated correctly.</t>
  </si>
  <si>
    <t>release with reason 200; assignee=null, phase=department</t>
  </si>
  <si>
    <t>TC-PCK-05</t>
  </si>
  <si>
    <t>7.5 Unauthorized Agent</t>
  </si>
  <si>
    <t>Block unassigned agent from accepting other's assignment</t>
  </si>
  <si>
    <t>Ticket offered to Agent 1</t>
  </si>
  <si>
    <t>1. Have another agent (Agent 2) attempt to accept assignment.</t>
  </si>
  <si>
    <t>Action should be rejected with permission error.</t>
  </si>
  <si>
    <t>Department Agent 2</t>
  </si>
  <si>
    <t>another agent accepting an offer to arjun is rejected: 409 This ticket cannot be accepted by you or was already picked up. (409 rather than 403; both block the action)</t>
  </si>
  <si>
    <t>Section 8: AUTOMATIC MANAGER ESCALATION</t>
  </si>
  <si>
    <t>TC-MGR-01</t>
  </si>
  <si>
    <t>8. Automatic Manager Escalation</t>
  </si>
  <si>
    <t>Unattended ticket escalates to Manager upon pickup SLA expiration</t>
  </si>
  <si>
    <t>Short pickup SLA configured (2-5 min); Ticket routed to department</t>
  </si>
  <si>
    <t xml:space="preserve">1. Route ticket to department.
2. Do NOT allow any agent to pick it up.
3. Wait until pickup SLA expires.</t>
  </si>
  <si>
    <t>Ticket detected as unattended; Manager escalation occurs; Manager notified; escalation visible on dashboard &amp; audit.</t>
  </si>
  <si>
    <t>Manager</t>
  </si>
  <si>
    <t>1-minute stage: 80% warning, then manager escalation. Notices delivered to Meera Nair: 'Unattended bucket ticket — 80% of review/pickup window elapsed' and 'Manager action needed — ticket has not been reviewed or accepted' (in-app; email not configured). First pass reported 0 because its filter missed these subjects.</t>
  </si>
  <si>
    <t>Section 9: SENIOR RM ESCALATION</t>
  </si>
  <si>
    <t>TC-SRM-01</t>
  </si>
  <si>
    <t>9. Senior RM Escalation</t>
  </si>
  <si>
    <t>Unresolved ticket escalates to Senior RM upon manager SLA expiration</t>
  </si>
  <si>
    <t>Ticket escalated to Manager; Manager SLA expires</t>
  </si>
  <si>
    <t xml:space="preserve">1. Let ticket remain unattended after manager escalation.
2. Do not resolve it.
3. Wait until manager SLA expires.</t>
  </si>
  <si>
    <t>Ticket escalates to Senior RM; Senior RM notified; escalation level visible; ticket actionable &amp; logged in audit.</t>
  </si>
  <si>
    <t>Senior RM</t>
  </si>
  <si>
    <t>Senior RM escalation fired after the manager window. Notice 'Senior RM action needed — bucket ticket remains unattended' delivered to Priya Sharma (in-app).</t>
  </si>
  <si>
    <t>Section 10: BUCKET MONITORING &amp; DASHBOARD ALERTS</t>
  </si>
  <si>
    <t>TC-MON-01</t>
  </si>
  <si>
    <t>10.1 Unattended Ticket</t>
  </si>
  <si>
    <t>Dashboard identifies unattended bucket tickets</t>
  </si>
  <si>
    <t>Ticket sitting unclaimed in bucket</t>
  </si>
  <si>
    <t xml:space="preserve">1. Create ticket and leave it in bucket.
2. Check dashboard.</t>
  </si>
  <si>
    <t>Dashboard identifies unattended ticket.</t>
  </si>
  <si>
    <t>Manager / Agent</t>
  </si>
  <si>
    <t>Dashboard showed 'Bucket monitoring · N need attention' for unattended bucket tickets (browser check).</t>
  </si>
  <si>
    <t>TC-MON-02</t>
  </si>
  <si>
    <t>10.2 SLA Warning Alert</t>
  </si>
  <si>
    <t>Approaching deadline warning / flash alert</t>
  </si>
  <si>
    <t>Ticket approaching SLA deadline</t>
  </si>
  <si>
    <t>1. Keep dashboard open while ticket approaches SLA deadline.</t>
  </si>
  <si>
    <t>Warning / flash notification appears for the appropriate user.</t>
  </si>
  <si>
    <t>Agent / Manager</t>
  </si>
  <si>
    <t>warning recorded before manager escalation: true</t>
  </si>
  <si>
    <t>TC-MON-03</t>
  </si>
  <si>
    <t>10.3 SLA Breach Alert</t>
  </si>
  <si>
    <t>Breach escalation alert upon SLA expiration</t>
  </si>
  <si>
    <t>Ticket breaches SLA target</t>
  </si>
  <si>
    <t xml:space="preserve">1. Allow SLA to expire.
2. Observe dashboard.</t>
  </si>
  <si>
    <t>Escalation alert appears; manager is notified.</t>
  </si>
  <si>
    <t>Manager escalation at the breach step verified via MGR-01; resolution-breach alert not run.</t>
  </si>
  <si>
    <t>TC-MON-04</t>
  </si>
  <si>
    <t>10.4 Multiple Tickets Alert</t>
  </si>
  <si>
    <t>Dashboard correctly aggregates multiple unattended tickets</t>
  </si>
  <si>
    <t>Multiple unattended tickets exist in buckets</t>
  </si>
  <si>
    <t xml:space="preserve">1. Create multiple unattended tickets.
2. Check dashboard.</t>
  </si>
  <si>
    <t>Dashboard correctly displays all relevant alerts and tickets.</t>
  </si>
  <si>
    <t>Dashboard aggregates multiple alerts (count shown); full multi-ticket alert list not compared.</t>
  </si>
  <si>
    <t>Section 11: SIMILAR ISSUE / EXPERIENCED AGENT RECOMMENDATION</t>
  </si>
  <si>
    <t>TC-REC-01</t>
  </si>
  <si>
    <t>11.1 Create Historical &amp; Match</t>
  </si>
  <si>
    <t>Agent with past resolution gets strong recommendation</t>
  </si>
  <si>
    <t>Agent 1 resolved historical ticket: 'VPN is not connecting after password reset.'</t>
  </si>
  <si>
    <t xml:space="preserve">1. Create new ticket: 'VPN is not connecting after I changed my password.'
2. Open agent selection.</t>
  </si>
  <si>
    <t>Agent 1 receives strong recommendation because they previously resolved a similar issue.</t>
  </si>
  <si>
    <t>arjun similarResolved=1; reason="Resolved 1 similar Network issue."</t>
  </si>
  <si>
    <t>TC-REC-02</t>
  </si>
  <si>
    <t>11.2 Inexperienced Agent</t>
  </si>
  <si>
    <t>Agent without experience ranks lower</t>
  </si>
  <si>
    <t>Agent 2 has never resolved this type of issue</t>
  </si>
  <si>
    <t>1. Check agent suggestion ranking.</t>
  </si>
  <si>
    <t>Agent 1 ranks distinctly higher than Agent 2.</t>
  </si>
  <si>
    <t>arjun 1 vs luis 0; order: Arjun Mehta &gt; Luis Moreno</t>
  </si>
  <si>
    <t>TC-REC-03</t>
  </si>
  <si>
    <t>11.3 Cross-Tenant Experience</t>
  </si>
  <si>
    <t>Tenant A history must not influence Tenant B</t>
  </si>
  <si>
    <t>Tenant A Agent resolved similar issue; Tenant B raises new issue</t>
  </si>
  <si>
    <t>1. Check recommendations for Tenant B ticket.</t>
  </si>
  <si>
    <t>Tenant A's history must NOT influence Tenant B's recommendation.</t>
  </si>
  <si>
    <t>Tenant A recommendation before/after a Tenant B resolved match: [["user_arjun",1],["user_luis",0]] -&gt; [["user_arjun",1],["user_luis",0]]; Tenant B agents listed in A: false</t>
  </si>
  <si>
    <t>Section 12: AGENT PERFORMANCE DASHBOARD</t>
  </si>
  <si>
    <t>TC-DSH-01</t>
  </si>
  <si>
    <t>12.1 Weekly Filter</t>
  </si>
  <si>
    <t>Filter agent resolution metrics by Week</t>
  </si>
  <si>
    <t>Closed tickets exist across multiple weeks</t>
  </si>
  <si>
    <t xml:space="preserve">1. Open /analytics.
2. Select 'Week'.</t>
  </si>
  <si>
    <t>Correct weekly period; correct performance/resolution numbers.</t>
  </si>
  <si>
    <t>Analytics as in Home page's Agent Performance.</t>
  </si>
  <si>
    <t>week period 2026-10-12 to 2026-10-18, granularity=day</t>
  </si>
  <si>
    <t>TC-DSH-02</t>
  </si>
  <si>
    <t>12.2 Monthly Filter</t>
  </si>
  <si>
    <t>Filter agent resolution metrics by Month</t>
  </si>
  <si>
    <t>Closed tickets exist across multiple months</t>
  </si>
  <si>
    <t>1. Select 'Month' in /analytics.</t>
  </si>
  <si>
    <t>Correct calendar month displayed with accurate metrics.</t>
  </si>
  <si>
    <t>month period 2026-10-01 to 2026-10-31</t>
  </si>
  <si>
    <t>TC-DSH-03</t>
  </si>
  <si>
    <t>12.3 Yearly Filter</t>
  </si>
  <si>
    <t>Filter agent resolution metrics by Year</t>
  </si>
  <si>
    <t>Closed tickets exist across current &amp; prior years</t>
  </si>
  <si>
    <t>1. Select 'Year' in /analytics.</t>
  </si>
  <si>
    <t>Correct calendar year displayed with accurate metrics.</t>
  </si>
  <si>
    <t>year period 2026-01-01 to 2026-12-31</t>
  </si>
  <si>
    <t>TC-DSH-04</t>
  </si>
  <si>
    <t>12.4 Custom Date Range</t>
  </si>
  <si>
    <t>Filter metrics by custom Start and End date</t>
  </si>
  <si>
    <t>Closed tickets exist in September</t>
  </si>
  <si>
    <t>1. Select Custom: Start 01 September, End 15 September.</t>
  </si>
  <si>
    <t>Only data from the selected period is included.</t>
  </si>
  <si>
    <t>custom 2026-10-12: period 2026-10-12-2026-10-12</t>
  </si>
  <si>
    <t>TC-DSH-05</t>
  </si>
  <si>
    <t>12.5 Date Boundaries</t>
  </si>
  <si>
    <t>Strict date boundary accuracy testing</t>
  </si>
  <si>
    <t>Tickets resolved before start, at start, during, at end, after end</t>
  </si>
  <si>
    <t>1. Test tickets around boundaries (Before, Start, During, End, After).</t>
  </si>
  <si>
    <t>Correct inclusion/exclusion across all date boundary edges.</t>
  </si>
  <si>
    <t>today (2026-10-13) includes 2 resolution(s) from this run; 2020 range includes 0. Boundary unit tests cover DST and timezone edges.</t>
  </si>
  <si>
    <t>Section 13: COMPLETE TICKET LIFECYCLE</t>
  </si>
  <si>
    <t>TC-LFC-01</t>
  </si>
  <si>
    <t>13. Full Lifecycle</t>
  </si>
  <si>
    <t>End-to-end execution through all 11 lifecycle stages</t>
  </si>
  <si>
    <t>All roles available; buckets configured</t>
  </si>
  <si>
    <t>1. Requester -&gt; Service Desk Bucket -&gt; SD Review -&gt; Dept Bucket -&gt; Agent Pickup -&gt; Assignment -&gt; Agent Accepts -&gt; In Progress -&gt; Resolution -&gt; Requester Confirmation -&gt; Closed.</t>
  </si>
  <si>
    <t>Status, workflow phase, assigned agent, department, timestamps, notifications, and audit verified at every stage.</t>
  </si>
  <si>
    <t>All Roles</t>
  </si>
  <si>
    <t>Created, routed, picked up, progress, resolved verified via API. Requester confirmation and close need the email link (not configured).</t>
  </si>
  <si>
    <t>Section 14: PROGRESS UPDATE</t>
  </si>
  <si>
    <t>TC-PRG-01</t>
  </si>
  <si>
    <t>14. Progress Update</t>
  </si>
  <si>
    <t>Add and verify progress updates during active work</t>
  </si>
  <si>
    <t>Ticket In Progress with assigned agent</t>
  </si>
  <si>
    <t xml:space="preserve">1. Add a progress update.
2. Save it.
3. Check ticket.
4. Check requester notification/email.</t>
  </si>
  <si>
    <t>Progress recorded; requester receives notification if configured; agent remains assigned.</t>
  </si>
  <si>
    <t>progress reply 200; requester in-app notice present=true (email not configured)</t>
  </si>
  <si>
    <t>Section 15: RESOLUTION</t>
  </si>
  <si>
    <t>TC-RES-01</t>
  </si>
  <si>
    <t>15. Resolution State</t>
  </si>
  <si>
    <t>Agent marks ticket resolved; triggers acknowledgement</t>
  </si>
  <si>
    <t>Ticket In Progress</t>
  </si>
  <si>
    <t xml:space="preserve">1. Agent resolves ticket.
2. Enter resolution notes.</t>
  </si>
  <si>
    <t>Ticket becomes Resolved/Awaiting Confirmation; resolution details saved; notifications sent; acknowledgement available.</t>
  </si>
  <si>
    <t>resolve 200; phase=resolved, status=resolved; resolution notice=true</t>
  </si>
  <si>
    <t>Section 16: REQUESTER CONFIRMATION</t>
  </si>
  <si>
    <t>TC-CNF-01</t>
  </si>
  <si>
    <t>16.1 Confirm</t>
  </si>
  <si>
    <t>Requester confirms resolution via link</t>
  </si>
  <si>
    <t>Ticket in Resolved state; link available</t>
  </si>
  <si>
    <t xml:space="preserve">1. Requester opens acknowledgement link.
2. Click Confirm Resolution.</t>
  </si>
  <si>
    <t>Confirmation succeeds; confirmation timestamp recorded; ticket can move to Closed.</t>
  </si>
  <si>
    <t>Confirm uses the acknowledgement link from email; email is not configured in this environment.</t>
  </si>
  <si>
    <t>TC-CNF-02</t>
  </si>
  <si>
    <t>16.2 Reopen</t>
  </si>
  <si>
    <t>Requester reopens ticket via acknowledgement link</t>
  </si>
  <si>
    <t>Ticket in Resolved state</t>
  </si>
  <si>
    <t xml:space="preserve">1. Requester opens link.
2. Chooses Reopen.</t>
  </si>
  <si>
    <t>Ticket reopens; returns to correct department workflow; previous resolution/assignment state updated.</t>
  </si>
  <si>
    <t>requester reply on resolved ticket: status=reopened, phase=department (reopen by reply; the email link path is not testable here)</t>
  </si>
  <si>
    <t>Section 17: ACKNOWLEDGEMENT SECURITY</t>
  </si>
  <si>
    <t>TC-SEC-01</t>
  </si>
  <si>
    <t>17.1 Reuse Link</t>
  </si>
  <si>
    <t>Prevent link reuse after single consumption</t>
  </si>
  <si>
    <t>Acknowledgement link used once</t>
  </si>
  <si>
    <t xml:space="preserve">1. Use acknowledgement link once.
2. Try using the same link again.</t>
  </si>
  <si>
    <t>Second attempt fails safely.</t>
  </si>
  <si>
    <t>Needs a real acknowledgement token from email (email not configured); see TC-SEC-02 for the rejection path.</t>
  </si>
  <si>
    <t>TC-SEC-02</t>
  </si>
  <si>
    <t>17.2 Invalid Token</t>
  </si>
  <si>
    <t>Reject tampered or malformed token URL</t>
  </si>
  <si>
    <t>Valid link available</t>
  </si>
  <si>
    <t>1. Modify the acknowledgement URL/token string.</t>
  </si>
  <si>
    <t>Request is rejected.</t>
  </si>
  <si>
    <t>External / Requester</t>
  </si>
  <si>
    <t xml:space="preserve">tampered token rejected: 404 </t>
  </si>
  <si>
    <t>TC-SEC-03</t>
  </si>
  <si>
    <t>17.3 Old Link Invalidation</t>
  </si>
  <si>
    <t>Old link cannot be used after ticket reopen and re-resolution</t>
  </si>
  <si>
    <t>Ticket resolved, reopened, then resolved again</t>
  </si>
  <si>
    <t>1. Try using the old acknowledgement link.</t>
  </si>
  <si>
    <t>Old link should not work; only newest link works.</t>
  </si>
  <si>
    <t>TC-SEC-04</t>
  </si>
  <si>
    <t>17.4 Wrong User Hijack</t>
  </si>
  <si>
    <t>Prevent unauthorized user from confirming another's ticket</t>
  </si>
  <si>
    <t>Acknowledgement link belongs to User A</t>
  </si>
  <si>
    <t>1. Try opening requester acknowledgement as another user.</t>
  </si>
  <si>
    <t>Unauthorized user cannot confirm/reopen the ticket.</t>
  </si>
  <si>
    <t>Unauthorized User</t>
  </si>
  <si>
    <t>Section 18: EMAIL &amp; NOTIFICATIONS</t>
  </si>
  <si>
    <t>TC-NTF-01</t>
  </si>
  <si>
    <t>18. Notifications Audit</t>
  </si>
  <si>
    <t>Audit notifications for all 7 lifecycle milestones</t>
  </si>
  <si>
    <t>Email/Notification service enabled (if not, mark BLOCKED)</t>
  </si>
  <si>
    <t>1. Check notifications for: Creation, Assignment, Progress, Escalation, Resolution, Reopen, Closed.</t>
  </si>
  <si>
    <t>Correct recipient, ticket #, status, agent, department, link, clean info; zero duplicates.</t>
  </si>
  <si>
    <t>System</t>
  </si>
  <si>
    <t>in-app notices for requester: {"created":true,"routed":true,"accepted":true,"progress":true,"resolved":true}; email delivery and the escalation/closed milestones not verified</t>
  </si>
  <si>
    <t>Section 19: PERMISSION &amp; SECURITY TESTING</t>
  </si>
  <si>
    <t>TC-SEC-05</t>
  </si>
  <si>
    <t>19. Requester RBAC</t>
  </si>
  <si>
    <t>Enforce strict negative permissions for Requester role</t>
  </si>
  <si>
    <t>Logged in as Requester</t>
  </si>
  <si>
    <t>1. Attempt to: Claim SD review, Assign tickets, Change dept without permission, Resolve unauthorized tickets, Access other user ticket, Access other tenant data.</t>
  </si>
  <si>
    <t>All unauthorized actions rejected.</t>
  </si>
  <si>
    <t>requester: claim 403, route 403, resolve 403, assign 403; other requester's ticket 404</t>
  </si>
  <si>
    <t>TC-SEC-06</t>
  </si>
  <si>
    <t>19. Agent RBAC</t>
  </si>
  <si>
    <t>Enforce strict negative permissions for Agent role</t>
  </si>
  <si>
    <t>Logged in as Agent</t>
  </si>
  <si>
    <t>1. Attempt to: Accept another agent assignment, Resolve tickets without required acceptance, Access unauthorized dept tickets, Access other tenant data.</t>
  </si>
  <si>
    <t>other agent accept blocked (409); resolve without acceptance blocked (409); sarah sees 0 Network Operations tickets on her board</t>
  </si>
  <si>
    <t>TC-SEC-07</t>
  </si>
  <si>
    <t>19. Cross-Tenant Barrier</t>
  </si>
  <si>
    <t>Strict multi-tenant security barrier</t>
  </si>
  <si>
    <t>Tenant A user logged in</t>
  </si>
  <si>
    <t>1. Attempt to see: Tenant B tickets, Tenant B users, Tenant B agent history, Tenant B availability, Tenant B departments.</t>
  </si>
  <si>
    <t>Tenant A user must NOT be able to see any Tenant B resources.</t>
  </si>
  <si>
    <t>Tenant A User</t>
  </si>
  <si>
    <t>Tenant A reads a Tenant B ticket: 404; Tenant B reads a Tenant A ticket: 404. Neither board lists the other tenant's ticket. Tenant A cannot see Tenant B users or departments.</t>
  </si>
  <si>
    <t>Section 20: REFRESH &amp; PERSISTENCE TEST</t>
  </si>
  <si>
    <t>TC-PST-01</t>
  </si>
  <si>
    <t>20. Refresh &amp; Persistence</t>
  </si>
  <si>
    <t>Verify persistence across page refresh and multi-session</t>
  </si>
  <si>
    <t>Ticket at major workflow stages</t>
  </si>
  <si>
    <t xml:space="preserve">1. Perform action.
2. Refresh browser.
3. Navigate away and reopen.
4. Open in two different browsers/users simultaneously.</t>
  </si>
  <si>
    <t>State, assignment, workflow state, escalation, and history remain completely correct and synchronized.</t>
  </si>
  <si>
    <t>state re-read after a refresh-equivalent GET: phase=in_progress, assignee=user_arjun. Multi-browser sync not tested.</t>
  </si>
  <si>
    <t>Section 21: CONCURRENT ASSIGNMENT TEST</t>
  </si>
  <si>
    <t>TC-CNC-01</t>
  </si>
  <si>
    <t>21. Concurrent Pickup</t>
  </si>
  <si>
    <t>Simultaneous ticket pickup by two agents</t>
  </si>
  <si>
    <t>Available ticket in Department Bucket</t>
  </si>
  <si>
    <t xml:space="preserve">1. Open same available ticket as Agent 1 and Agent 2.
2. Both try to pick up ticket at approximately same time.</t>
  </si>
  <si>
    <t>Only one agent successfully obtains ticket; other action fails safely.</t>
  </si>
  <si>
    <t>Agent 1 &amp; Agent 2</t>
  </si>
  <si>
    <t>simultaneous pickup: arjun 200, sarah 409</t>
  </si>
  <si>
    <t>TC-CNC-02</t>
  </si>
  <si>
    <t>21. Concurrent Accept</t>
  </si>
  <si>
    <t>Simultaneous assignment acceptance collision</t>
  </si>
  <si>
    <t>Ticket offered/assigned to Agent 1</t>
  </si>
  <si>
    <t xml:space="preserve">1. Agent 1 accepts.
2. Agent 2 tries to accept.</t>
  </si>
  <si>
    <t>Agent 2 should be rejected; assignment remains strictly with Agent 1.</t>
  </si>
  <si>
    <t>simultaneous accept by the assignee: 200, 409</t>
  </si>
  <si>
    <t>Section 22: FINAL END-TO-END TEST</t>
  </si>
  <si>
    <t>TC-E2E-02</t>
  </si>
  <si>
    <t>22. Scenario 1 (High-Prio Full)</t>
  </si>
  <si>
    <t>Full High-Priority Incident lifecycle with SLA escalations</t>
  </si>
  <si>
    <t>All roles and short SLAs configured</t>
  </si>
  <si>
    <t>1. Create high-prio incident (Who &amp; Where, AI priority) -&gt; SD review -&gt; Route dept -&gt; Unattended warning -&gt; Manager escalation -&gt; Senior RM escalation -&gt; Pick up -&gt; Accept -&gt; Progress update -&gt; Resolve -&gt; Confirm -&gt; Closed -&gt; Audit check.</t>
  </si>
  <si>
    <t>Complete end-to-end scenario 1 functions seamlessly with 100% audit integrity.</t>
  </si>
  <si>
    <t>Full high-priority scenario needs live SLA escalation timing, Teams and email; MGR-01/SRM-01 cover the escalation steps.</t>
  </si>
  <si>
    <t>TC-E2E-03</t>
  </si>
  <si>
    <t>22. Scenario 2 (Rejection &amp; Reopen)</t>
  </si>
  <si>
    <t>Full Incident cycle through decline, release, reopen, and confirm</t>
  </si>
  <si>
    <t>All roles available</t>
  </si>
  <si>
    <t>1. Create ticket -&gt; Route dept -&gt; Agent picks -&gt; Agent declines/release -&gt; Returns dept -&gt; Another agent picks -&gt; Resolves -&gt; Requester reopens -&gt; Returns dept -&gt; Resolves again -&gt; Confirms -&gt; Closes.</t>
  </si>
  <si>
    <t>Complete scenario 2 executes cleanly with full state updates at each stage.</t>
  </si>
  <si>
    <t>release → pickup → resolve → requester reopen (reopened, phase department) → pickup → resolve 200. Confirm and close need the email link.</t>
  </si>
  <si>
    <t>Section 23: AUDIT CHAIN &amp; CRYPTOGRAPHIC VERIFICATION</t>
  </si>
  <si>
    <t>TC-AUD-01</t>
  </si>
  <si>
    <t>23. Tamper-Evident Chain</t>
  </si>
  <si>
    <t>Cryptographic SHA-256 audit chain recalculation</t>
  </si>
  <si>
    <t>Multiple mutations performed across all lifecycle tests</t>
  </si>
  <si>
    <t xml:space="preserve">1. Navigate to /audit as Admin.
2. Click 'Verify Audit Chain'.</t>
  </si>
  <si>
    <t>System recalculates SHA-256 hashes across all blocks; confirms 100% chain validity with zero broken links.</t>
  </si>
  <si>
    <t>chain verification: {"valid":true,"length":342,"brokenAt":null,"reason":null}</t>
  </si>
  <si>
    <t>24. Return to Service Desk (Phase A)</t>
  </si>
  <si>
    <t>TC-RET-01</t>
  </si>
  <si>
    <t>24.1 Return with reason</t>
  </si>
  <si>
    <t>Department member returns a wrongly routed ticket</t>
  </si>
  <si>
    <t>Ticket routed to Network Operations (department queue); member of that group logged in (e.g. Luis Moreno)</t>
  </si>
  <si>
    <t xml:space="preserve">1. Open the ticket on the bucket board.
2. Enter a reason in 'Wrong group? Explain why'.
3. Click 'Return to Service Desk'.</t>
  </si>
  <si>
    <t>Ticket moves back to the Service Desk bucket (phase: Service-desk review, status open). The card shows 'Returned to Service Desk 1× — last by &lt;name&gt;: "&lt;reason&gt;"'.</t>
  </si>
  <si>
    <t>Department Agent (member)</t>
  </si>
  <si>
    <t/>
  </si>
  <si>
    <t>New in v2. Live API check: Yes</t>
  </si>
  <si>
    <t>Automated coverage: tests/bucketWorkflow.test.ts</t>
  </si>
  <si>
    <t>TC-RET-02</t>
  </si>
  <si>
    <t>Reason is mandatory</t>
  </si>
  <si>
    <t>Same as TC-RET-01</t>
  </si>
  <si>
    <t xml:space="preserve">1. Leave the reason empty (or only spaces).
2. Check the 'Return to Service Desk' button.</t>
  </si>
  <si>
    <t>Button stays disabled. If sent through the API, the server returns 400 'A reason is required.'</t>
  </si>
  <si>
    <t>TC-RET-03</t>
  </si>
  <si>
    <t>24.2 Who can return</t>
  </si>
  <si>
    <t>Agent outside the group cannot return the ticket</t>
  </si>
  <si>
    <t>Ticket in a department queue; agent not in that group and not assignee</t>
  </si>
  <si>
    <t xml:space="preserve">1. Open the ticket as a different agent.
2. Look for the return control.
3. Call the workflow API with action return_to_service_desk.</t>
  </si>
  <si>
    <t>No return control is shown. The API returns 403.</t>
  </si>
  <si>
    <t>Agent (non-member)</t>
  </si>
  <si>
    <t>TC-RET-04</t>
  </si>
  <si>
    <t>24.3 Return accepted work</t>
  </si>
  <si>
    <t>Assignee returns accepted work</t>
  </si>
  <si>
    <t>Ticket picked up (In progress) by the assignee</t>
  </si>
  <si>
    <t>1. As the assignee, enter a reason and return the ticket.</t>
  </si>
  <si>
    <t>Ticket goes to the Service Desk; assignee cleared; acceptance removed (ticket shows 'Not yet accepted' again after re-routing).</t>
  </si>
  <si>
    <t>Department Agent (assignee)</t>
  </si>
  <si>
    <t>New in v2. Live API check: No</t>
  </si>
  <si>
    <t>TC-RET-05</t>
  </si>
  <si>
    <t>24.4 Anti-misroute</t>
  </si>
  <si>
    <t>Desk cannot send the ticket straight back to the group that returned it</t>
  </si>
  <si>
    <t>Ticket was returned once from Network Operations and is back in the Service Desk</t>
  </si>
  <si>
    <t xml:space="preserve">1. Claim review as a Service Desk agent.
2. Try to route to Network Operations.</t>
  </si>
  <si>
    <t>Routing is refused with 403 ('returned from that group… A manager must route it').</t>
  </si>
  <si>
    <t>TC-RET-06</t>
  </si>
  <si>
    <t>Manager routes a returned ticket</t>
  </si>
  <si>
    <t>Same as TC-RET-05</t>
  </si>
  <si>
    <t xml:space="preserve">1. As the manager, route to Network Operations with no reason.
2. Route again with a reason.</t>
  </si>
  <si>
    <t>First attempt: 400 'Give a reason for routing a ticket that was previously returned.' Second attempt: ticket routed to the department.</t>
  </si>
  <si>
    <t>TC-RET-07</t>
  </si>
  <si>
    <t>After two returns only a manager can route</t>
  </si>
  <si>
    <t>Ticket returned twice</t>
  </si>
  <si>
    <t xml:space="preserve">1. Claim review as a Service Desk agent.
2. Try to route to any department.</t>
  </si>
  <si>
    <t>403 for non-managers. The card shows 'Returned to Service Desk 2×'.</t>
  </si>
  <si>
    <t>TC-RET-08</t>
  </si>
  <si>
    <t>24.5 Notification</t>
  </si>
  <si>
    <t>Second return notifies the Service Desk manager</t>
  </si>
  <si>
    <t>Desk bucket manager is Meera Nair; ticket returned for the second time</t>
  </si>
  <si>
    <t xml:space="preserve">1. Log in as Meera Nair.
2. Open notifications.</t>
  </si>
  <si>
    <t>A notice '[INC-…] Ticket returned to the Service Desk 2 times' is listed for Meera. The first return sends no notice.</t>
  </si>
  <si>
    <t>Manager (desk bucket manager)</t>
  </si>
  <si>
    <t>TC-RET-09</t>
  </si>
  <si>
    <t>24.6 Timers</t>
  </si>
  <si>
    <t>Return restarts the pickup clock and clears warnings</t>
  </si>
  <si>
    <t>Ticket had a warning or manager escalation before being returned</t>
  </si>
  <si>
    <t xml:space="preserve">1. Return the ticket.
2. Read the 'Entered … ago' and 'Review/pickup due' lines on the Service Desk card.</t>
  </si>
  <si>
    <t>'Entered' resets to now; the due time is recalculated; the sla_at_risk/escalation markers are gone.</t>
  </si>
  <si>
    <t>25. Department Suggestion and Agent Ranking (Phase B)</t>
  </si>
  <si>
    <t>TC-SUG-01</t>
  </si>
  <si>
    <t>25.1 Who sees suggestions</t>
  </si>
  <si>
    <t>Suggestion panel only for reviewers and managers</t>
  </si>
  <si>
    <t>Ticket in the Service Desk bucket</t>
  </si>
  <si>
    <t xml:space="preserve">1. As the claiming reviewer or a manager, open 'Suggest department (AI-assisted, advisory)'.
2. As a requester, call GET /api/v1/tickets/{id}/workflow.</t>
  </si>
  <si>
    <t>Reviewer and manager see the panel and the data. The requester gets 403. Agents outside the desk get 403.</t>
  </si>
  <si>
    <t>Reviewer / Manager / Requester</t>
  </si>
  <si>
    <t>Automated coverage: tests/routingRecommendation.test.ts</t>
  </si>
  <si>
    <t>TC-SUG-02</t>
  </si>
  <si>
    <t>25.2 Lazy loading</t>
  </si>
  <si>
    <t>Suggestion is computed only when the panel is opened</t>
  </si>
  <si>
    <t>Service Desk bucket with several tickets</t>
  </si>
  <si>
    <t xml:space="preserve">1. Load the board and watch network requests.
2. Open one panel.</t>
  </si>
  <si>
    <t>No recommendation request until a panel is opened; one request per opened panel.</t>
  </si>
  <si>
    <t>Reviewer</t>
  </si>
  <si>
    <t>Automated coverage: —</t>
  </si>
  <si>
    <t>TC-SUG-03</t>
  </si>
  <si>
    <t>25.3 Ranked groups</t>
  </si>
  <si>
    <t>Groups are ranked with confidence, reasons and evidence</t>
  </si>
  <si>
    <t>Similar tickets resolved in a department; a matching knowledge article</t>
  </si>
  <si>
    <t xml:space="preserve">1. Open the panel.
2. Read the groups.</t>
  </si>
  <si>
    <t>Groups sorted by score, each with confidence (high/medium/low), reasons (e.g. 'Resolved 2 similar tickets in this group'), evidence ticket references and article titles.</t>
  </si>
  <si>
    <t>New in v2. Live API check: Partial (API)</t>
  </si>
  <si>
    <t>TC-SUG-04</t>
  </si>
  <si>
    <t>25.4 No evidence</t>
  </si>
  <si>
    <t>Honest 'no evidence' result</t>
  </si>
  <si>
    <t>Ticket with no similar history, no matching articles and no category owner</t>
  </si>
  <si>
    <t>1. Open the panel.</t>
  </si>
  <si>
    <t>'No confident recommendation — choose manually.' is shown and no group is pre-selected.</t>
  </si>
  <si>
    <t>TC-SUG-05</t>
  </si>
  <si>
    <t>25.5 Recurring issue</t>
  </si>
  <si>
    <t>Recurring-issue warning</t>
  </si>
  <si>
    <t>At least 3 similar tickets raised in the last 30 days</t>
  </si>
  <si>
    <t>1. Open the panel for a new similar ticket.</t>
  </si>
  <si>
    <t>'Recurring issue: N similar tickets in the last 30 days' is shown, with a problem link if one exists.</t>
  </si>
  <si>
    <t>TC-SUG-06</t>
  </si>
  <si>
    <t>25.6 Use this department</t>
  </si>
  <si>
    <t>Button pre-selects the department without routing</t>
  </si>
  <si>
    <t>Suggestion available</t>
  </si>
  <si>
    <t xml:space="preserve">1. Click 'Use this department'.
2. Confirm the ticket has not moved yet.
3. Route the ticket.</t>
  </si>
  <si>
    <t>The department dropdown changes to the suggested group. Nothing is routed until 'Route to department' is clicked.</t>
  </si>
  <si>
    <t>TC-SUG-07</t>
  </si>
  <si>
    <t>25.7 Accuracy record</t>
  </si>
  <si>
    <t>Routing event records whether the suggestion was followed</t>
  </si>
  <si>
    <t>Suggestion shown; the reviewer routes to a different department (and another time to the suggested one)</t>
  </si>
  <si>
    <t xml:space="preserve">1. Route with a suggestion.
2. Open the ticket events.</t>
  </si>
  <si>
    <t>Event 'workflow.route' shows suggestedGroupId and followedSuggestion (true only when the routed group matches).</t>
  </si>
  <si>
    <t>New in v2. Live API check: Yes (API)</t>
  </si>
  <si>
    <t>TC-SUG-08</t>
  </si>
  <si>
    <t>25.8 Agent ranking</t>
  </si>
  <si>
    <t>Agent with a similar past resolution ranks first</t>
  </si>
  <si>
    <t>Agent A resolved a similar ticket in the group; Agent B did not</t>
  </si>
  <si>
    <t xml:space="preserve">1. Open the panel.
2. Read 'Agents in &lt;group&gt;'.</t>
  </si>
  <si>
    <t>Agent A is listed first with 'Resolved N similar … issue(s)'; Agent B ranks below.</t>
  </si>
  <si>
    <t>TC-SUG-09</t>
  </si>
  <si>
    <t>25.9 Availability wording</t>
  </si>
  <si>
    <t>Availability text in the panel is accurate</t>
  </si>
  <si>
    <t>Working hours NOT configured for the group's agents</t>
  </si>
  <si>
    <t>1. Open the panel and read the availability wording.</t>
  </si>
  <si>
    <t>Expected: a clear 'working hours not configured' message. Known issue KI-02: the panel currently says 'No member is available right now.'</t>
  </si>
  <si>
    <t>New in v2. Live API check: Yes (browser)</t>
  </si>
  <si>
    <t>TC-SUG-10</t>
  </si>
  <si>
    <t>25.10 Advisory only</t>
  </si>
  <si>
    <t>Suggestion never routes automatically</t>
  </si>
  <si>
    <t xml:space="preserve">1. Wait 1 minute with the panel open.
2. Refresh.</t>
  </si>
  <si>
    <t>Ticket still in the Service Desk bucket with no assignment change.</t>
  </si>
  <si>
    <t>26. Agent Performance Metrics and Trend (Phase C)</t>
  </si>
  <si>
    <t>TC-PRF-01</t>
  </si>
  <si>
    <t>26.1 Columns</t>
  </si>
  <si>
    <t>Per-agent metrics render with '—' for missing values</t>
  </si>
  <si>
    <t>Home page, Agent performance panel</t>
  </si>
  <si>
    <t xml:space="preserve">1. Open the home page as a manager.
2. Read the second table (Today, Week, Month, In period, Avg resolution, SLA met, Reopened, Backlog, Oldest open).</t>
  </si>
  <si>
    <t>All columns present. Missing averages and SLA % show '—'. Times read like '2h 36m'.</t>
  </si>
  <si>
    <t>Automated coverage: tests/agentPerformance.test.ts</t>
  </si>
  <si>
    <t>TC-PRF-02</t>
  </si>
  <si>
    <t>26.2 SLA pause</t>
  </si>
  <si>
    <t>Average resolution ignores paused time</t>
  </si>
  <si>
    <t>Ticket paused for 30 minutes, then resolved after 2 hours</t>
  </si>
  <si>
    <t xml:space="preserve">1. Resolve the ticket.
2. Check the average resolution for that agent.</t>
  </si>
  <si>
    <t>Average counts about 90 minutes (120 minus 30 paused).</t>
  </si>
  <si>
    <t>TC-PRF-03</t>
  </si>
  <si>
    <t>26.3 Reopen credit</t>
  </si>
  <si>
    <t>Reopen credited to the previous resolver</t>
  </si>
  <si>
    <t>Agent A resolved, ticket reopened, now assigned to agent B</t>
  </si>
  <si>
    <t>1. Check 'Reopened' for agents A and B.</t>
  </si>
  <si>
    <t>Reopened count increases for agent A (the resolver), not agent B.</t>
  </si>
  <si>
    <t>TC-PRF-04</t>
  </si>
  <si>
    <t>26.4 Trend</t>
  </si>
  <si>
    <t>Trend by day, week and month, zero-filled</t>
  </si>
  <si>
    <t>Resolutions on several days</t>
  </si>
  <si>
    <t xml:space="preserve">1. Choose a custom range.
2. Set 'Trend by' to Day, then Week, then Month.</t>
  </si>
  <si>
    <t>Day: one row per date, including zeros. Week: rows start on Monday. Month: rows keyed YYYY-MM.</t>
  </si>
  <si>
    <t>TC-PRF-05</t>
  </si>
  <si>
    <t>26.5 Auto granularity</t>
  </si>
  <si>
    <t>Default trend granularity follows the span</t>
  </si>
  <si>
    <t>—</t>
  </si>
  <si>
    <t>1. Pick a 31-day range, a 180-day range and a 181-day range with 'Trend by: Auto'.</t>
  </si>
  <si>
    <t>Daily up to 31 days, weekly up to 180 days, monthly beyond.</t>
  </si>
  <si>
    <t>P3</t>
  </si>
  <si>
    <t>TC-PRF-06</t>
  </si>
  <si>
    <t>26.6 Timezone</t>
  </si>
  <si>
    <t>Windows use the organization timezone</t>
  </si>
  <si>
    <t>Organization timezone set to Asia/Kolkata; a resolution at 01:30 local time on the 1st</t>
  </si>
  <si>
    <t>1. Check today's count at 11:30 local time.</t>
  </si>
  <si>
    <t>The resolution counts as today in the organization's timezone, not UTC.</t>
  </si>
  <si>
    <t>TC-PRF-07</t>
  </si>
  <si>
    <t>26.7 Former staff</t>
  </si>
  <si>
    <t>Resolutions by a deactivated agent still count</t>
  </si>
  <si>
    <t>A resolver has been deactivated</t>
  </si>
  <si>
    <t>1. Check the performance table.</t>
  </si>
  <si>
    <t>The row appears as 'Former staff member' with its resolution counts.</t>
  </si>
  <si>
    <t>27. Live Status Board and Filters (Phase D)</t>
  </si>
  <si>
    <t>TC-LIVE-01</t>
  </si>
  <si>
    <t>27.1 Status board counts</t>
  </si>
  <si>
    <t>Tiles match the ticket lists</t>
  </si>
  <si>
    <t>Mixed open, assigned, pending, overdue and escalated tickets</t>
  </si>
  <si>
    <t xml:space="preserve">1. Open the dashboard.
2. Compare each tile with the matching list.</t>
  </si>
  <si>
    <t>Open, Assigned, In progress, Pending, Resolved, Overdue and Escalated counts match the lists they link to.</t>
  </si>
  <si>
    <t>New in v2. Live API check: Yes (API + browser)</t>
  </si>
  <si>
    <t>Automated coverage: tests/ticketFilters.test.ts</t>
  </si>
  <si>
    <t>TC-LIVE-02</t>
  </si>
  <si>
    <t>27.2 Deep links</t>
  </si>
  <si>
    <t>Each tile opens the filtered list with a matching count</t>
  </si>
  <si>
    <t>1. Click 'Overdue', then 'Escalated', then 'Assigned'.</t>
  </si>
  <si>
    <t>Each list opens with its filter set and 'N of M tickets' matching the tile.</t>
  </si>
  <si>
    <t>TC-LIVE-03</t>
  </si>
  <si>
    <t>27.3 Phase chips</t>
  </si>
  <si>
    <t>Workflow phase chips link to a filtered list</t>
  </si>
  <si>
    <t>Tickets in several bucket phases</t>
  </si>
  <si>
    <t>1. Click a phase chip (e.g. 'Service-desk review: 14').</t>
  </si>
  <si>
    <t>Explorer opens with the Workflow phase filter set to that phase.</t>
  </si>
  <si>
    <t>TC-LIVE-04</t>
  </si>
  <si>
    <t>27.4 Caption</t>
  </si>
  <si>
    <t>Honest refresh caption</t>
  </si>
  <si>
    <t>Dashboard open</t>
  </si>
  <si>
    <t>1. Read the status area.</t>
  </si>
  <si>
    <t>Shows 'Live · refreshes every 60 s as a fallback'. No claim of guaranteed real-time updates.</t>
  </si>
  <si>
    <t>TC-LIVE-05</t>
  </si>
  <si>
    <t>27.5 Live refresh</t>
  </si>
  <si>
    <t>Dashboard and lists update without a reload</t>
  </si>
  <si>
    <t>Two sessions: user A on the dashboard, user B changes a ticket</t>
  </si>
  <si>
    <t xml:space="preserve">1. User B resolves or assigns a ticket.
2. Watch user A's counts (up to 60 s).</t>
  </si>
  <si>
    <t>Counts update within seconds when the event arrives, and within 60 s regardless (polling fallback).</t>
  </si>
  <si>
    <t>Agent / Manager (two sessions)</t>
  </si>
  <si>
    <t>Automated coverage: tests/ticketFilters.test.ts (logic only)</t>
  </si>
  <si>
    <t>TC-LIVE-06</t>
  </si>
  <si>
    <t>27.6 Explorer filters</t>
  </si>
  <si>
    <t>Filters combine and reset</t>
  </si>
  <si>
    <t>Several tickets with varied priority, group, assignee, category and SLA</t>
  </si>
  <si>
    <t xml:space="preserve">1. Set Priority = High and Category = Network.
2. Add 'Overdue only'.
3. Click 'Clear filters'.</t>
  </si>
  <si>
    <t>The list narrows with each filter; 'N of M tickets' is correct; 'Clear filters' restores all tickets and is disabled when nothing is set.</t>
  </si>
  <si>
    <t>TC-LIVE-07</t>
  </si>
  <si>
    <t>27.7 URL filters</t>
  </si>
  <si>
    <t>Filters come from the URL and ignore bad values</t>
  </si>
  <si>
    <t>1. Open /tickets?view=all_unsolved&amp;priority=bogus&amp;sla=nope&amp;overdue=1.</t>
  </si>
  <si>
    <t>Priority and SLA values are ignored; the overdue filter is applied.</t>
  </si>
  <si>
    <t>New in v2. Live API check: Partial (browser)</t>
  </si>
  <si>
    <t>TC-LIVE-08</t>
  </si>
  <si>
    <t>27.8 Bucket filters</t>
  </si>
  <si>
    <t>Bucket board filters per queue</t>
  </si>
  <si>
    <t>Tickets in several buckets with different priority, assignee and health</t>
  </si>
  <si>
    <t>1. On the bucket board set Priority, Assignee, Category and Queue health.</t>
  </si>
  <si>
    <t>Only matching tickets remain in each bucket; the 'N of M tickets' count updates.</t>
  </si>
  <si>
    <t>TC-LIVE-09</t>
  </si>
  <si>
    <t>27.9 Escalated tile</t>
  </si>
  <si>
    <t>Resolved tickets with old escalation markers are not counted</t>
  </si>
  <si>
    <t>A resolved ticket with an old escalation marker</t>
  </si>
  <si>
    <t>1. Compare the Escalated tile with the Escalated list.</t>
  </si>
  <si>
    <t>The tile counts only open escalated tickets, the same as the list it links to.</t>
  </si>
  <si>
    <t>28. Attachments: Database Storage and Conversation Files (Phase E)</t>
  </si>
  <si>
    <t>TC-ATT-01</t>
  </si>
  <si>
    <t>28.1 Reply with a file</t>
  </si>
  <si>
    <t>Agent attaches a file to a public reply</t>
  </si>
  <si>
    <t>Ticket open, agent logged in</t>
  </si>
  <si>
    <t xml:space="preserve">1. Click 'Attach files' and choose a file.
2. Write a reply and click Send.</t>
  </si>
  <si>
    <t>The file appears as a download link under that reply, with its size. The reply text is sent.</t>
  </si>
  <si>
    <t>Automated coverage: tests/attachments.test.ts</t>
  </si>
  <si>
    <t>TC-ATT-02</t>
  </si>
  <si>
    <t>28.2 Internal note hidden</t>
  </si>
  <si>
    <t>Files on internal notes are hidden from requesters</t>
  </si>
  <si>
    <t>Agent posted an internal note with a file</t>
  </si>
  <si>
    <t xml:space="preserve">1. Log in as the requester.
2. Open the ticket.
3. Check the thread, the attachment list and the download URL of the file.</t>
  </si>
  <si>
    <t>The note and its file are not shown. The download URL returns 404.</t>
  </si>
  <si>
    <t>TC-ATT-03</t>
  </si>
  <si>
    <t>28.3 Staff sees internal files</t>
  </si>
  <si>
    <t>Staff see internal-note files</t>
  </si>
  <si>
    <t>As TC-ATT-02</t>
  </si>
  <si>
    <t xml:space="preserve">1. Log in as an agent.
2. Open the ticket and download the internal file.</t>
  </si>
  <si>
    <t>The internal note file appears and downloads with its original bytes.</t>
  </si>
  <si>
    <t>TC-ATT-04</t>
  </si>
  <si>
    <t>28.4 Requester reply with a file</t>
  </si>
  <si>
    <t>Requester attaches a file to a reply</t>
  </si>
  <si>
    <t>Requester owns the ticket</t>
  </si>
  <si>
    <t>1. Attach a file, add text and send.</t>
  </si>
  <si>
    <t>The file is listed under the requester's message and visible to staff.</t>
  </si>
  <si>
    <t>TC-ATT-05</t>
  </si>
  <si>
    <t>28.5 Count limit</t>
  </si>
  <si>
    <t>No more than 5 files per message</t>
  </si>
  <si>
    <t>1. Choose 6 files in the picker.</t>
  </si>
  <si>
    <t>The picker stops at 5 and shows 'Too many files'. The API returns 400 'At most 5 files per message.'</t>
  </si>
  <si>
    <t>Agent / Requester</t>
  </si>
  <si>
    <t>TC-ATT-06</t>
  </si>
  <si>
    <t>28.6 Size limit</t>
  </si>
  <si>
    <t>Files over 4 MB are refused on the client</t>
  </si>
  <si>
    <t>1. Choose a 5 MB file in the picker.</t>
  </si>
  <si>
    <t>A 'File too large' message names the file. The file is not added.</t>
  </si>
  <si>
    <t>TC-ATT-07</t>
  </si>
  <si>
    <t>28.7 Blocked types</t>
  </si>
  <si>
    <t>Executables and unlisted types are rejected</t>
  </si>
  <si>
    <t xml:space="preserve">1. Send a message with payload.exe.
2. Send a file with an unlisted MIME type.</t>
  </si>
  <si>
    <t>400 with '.exe files are not allowed' (or 'type … is not allowed'). No message is posted.</t>
  </si>
  <si>
    <t>TC-ATT-08</t>
  </si>
  <si>
    <t>28.8 New types</t>
  </si>
  <si>
    <t>Newly allowed types are accepted</t>
  </si>
  <si>
    <t>1. Attach .heic, .bmp, .mp4 and .msg files in turn.</t>
  </si>
  <si>
    <t>Each is accepted and appears as a download link.</t>
  </si>
  <si>
    <t>TC-ATT-09</t>
  </si>
  <si>
    <t>28.9 Text required</t>
  </si>
  <si>
    <t>A file cannot be sent without text</t>
  </si>
  <si>
    <t>1. Attach a file and leave the text empty.</t>
  </si>
  <si>
    <t>Send stays disabled. The API returns 400.</t>
  </si>
  <si>
    <t>TC-ATT-10</t>
  </si>
  <si>
    <t>28.10 Activity log</t>
  </si>
  <si>
    <t>Activity does not reveal internal file names</t>
  </si>
  <si>
    <t>Agent attached a file to an internal note</t>
  </si>
  <si>
    <t>1. Read the ticket activity.</t>
  </si>
  <si>
    <t>Shows 'An internal attachment was added by &lt;name&gt;.' with no file name.</t>
  </si>
  <si>
    <t>TC-ATT-11</t>
  </si>
  <si>
    <t>28.11 Submit as Solved guard</t>
  </si>
  <si>
    <t>Submit as Solved is blocked while files are staged</t>
  </si>
  <si>
    <t>Agent has attached a file but not sent</t>
  </si>
  <si>
    <t>1. Check the 'Submit as Solved' button.</t>
  </si>
  <si>
    <t>Button is disabled with the tooltip 'Send or remove the attached files first'.</t>
  </si>
  <si>
    <t>TC-ATT-12</t>
  </si>
  <si>
    <t>28.12 Save failure</t>
  </si>
  <si>
    <t>Message posted but file save fails</t>
  </si>
  <si>
    <t>Attachment storage unavailable (fault injection)</t>
  </si>
  <si>
    <t>1. Send a reply with a file while storage is down.</t>
  </si>
  <si>
    <t>Response says 'Your message was sent, but the attachments could not be saved…'. The reply box is cleared, so the text is not sent twice.</t>
  </si>
  <si>
    <t>TC-ATT-13</t>
  </si>
  <si>
    <t>28.13 Database storage</t>
  </si>
  <si>
    <t>Attachments stored in Postgres (ATTACHMENT_STORAGE=database)</t>
  </si>
  <si>
    <t>Postgres production-like environment; migration 20261014090000 applied; ATTACHMENT_STORAGE=database; DATA_DRIVER=prisma</t>
  </si>
  <si>
    <t xml:space="preserve">1. Upload a file, download it, delete it.
2. Check /api/v1/health productionProfile.attachmentStorage.</t>
  </si>
  <si>
    <t>Round trip returns identical bytes. Health reports 'database'. Files over 4 MB are refused.</t>
  </si>
  <si>
    <t>Admin / Agent (deployment)</t>
  </si>
  <si>
    <t>New in v2. Live API check: No (needs Postgres)</t>
  </si>
  <si>
    <t>Automated coverage: tests/databaseBlob.test.ts</t>
  </si>
  <si>
    <t>TC-ATT-14</t>
  </si>
  <si>
    <t>28.14 Production check</t>
  </si>
  <si>
    <t>Environment check enforces database storage rules</t>
  </si>
  <si>
    <t>1. Run scripts/check-production-environment.cjs with ATTACHMENT_STORAGE=database and ATTACHMENT_MAX_BYTES=5000000.</t>
  </si>
  <si>
    <t>Fails: 'ATTACHMENT_MAX_BYTES must not exceed 4194304…'. With ATTACHMENT_STORAGE=local it fails with 'must be database'.</t>
  </si>
  <si>
    <t>Admin (deployment)</t>
  </si>
  <si>
    <t>Automated coverage: tests/productionEnvironment.test.ts</t>
  </si>
  <si>
    <t>29. Context-Aware Priority (Phase F)</t>
  </si>
  <si>
    <t>TC-PRI-01</t>
  </si>
  <si>
    <t>29.1 People affected</t>
  </si>
  <si>
    <t>'Many people' raises impact and priority</t>
  </si>
  <si>
    <t>New-ticket form</t>
  </si>
  <si>
    <t xml:space="preserve">1. Enter a subject and description.
2. Set 'People affected' to 'Many people'.
3. Read the preview.</t>
  </si>
  <si>
    <t>Preview shows Impact high and the factor 'Many people affected'. Priority rises accordingly.</t>
  </si>
  <si>
    <t>Requester / Agent</t>
  </si>
  <si>
    <t>Automated coverage: tests/aiService.test.ts</t>
  </si>
  <si>
    <t>TC-PRI-02</t>
  </si>
  <si>
    <t>29.2 Cannot work</t>
  </si>
  <si>
    <t>'I cannot work' raises urgency</t>
  </si>
  <si>
    <t xml:space="preserve">1. Tick 'I cannot work because of this'.
2. Read the preview.</t>
  </si>
  <si>
    <t>Urgency high; factor 'Requester cannot work'.</t>
  </si>
  <si>
    <t>TC-PRI-03</t>
  </si>
  <si>
    <t>29.3 Security wording</t>
  </si>
  <si>
    <t>Security wording forces at least P2</t>
  </si>
  <si>
    <t xml:space="preserve">1. Describe 'I clicked a phishing link and typed my password'.
2. Read the preview.</t>
  </si>
  <si>
    <t>Priority is at least high; factor 'Possible security incident'.</t>
  </si>
  <si>
    <t>TC-PRI-04</t>
  </si>
  <si>
    <t>29.4 Outage wording</t>
  </si>
  <si>
    <t>Outage wording raises impact</t>
  </si>
  <si>
    <t xml:space="preserve">1. Describe 'The VPN is down for everyone'.
2. Read the preview.</t>
  </si>
  <si>
    <t>Impact high; factor 'Service outage wording'.</t>
  </si>
  <si>
    <t>TC-PRI-05</t>
  </si>
  <si>
    <t>29.5 Category kept</t>
  </si>
  <si>
    <t>Requester's category is not overwritten</t>
  </si>
  <si>
    <t>Requester selects category 'Billing' on a text that suggests 'Network'</t>
  </si>
  <si>
    <t xml:space="preserve">1. Submit the ticket.
2. Read the ticket category.</t>
  </si>
  <si>
    <t>Category stays 'Billing'.</t>
  </si>
  <si>
    <t>TC-PRI-06</t>
  </si>
  <si>
    <t>29.6 Factors listed</t>
  </si>
  <si>
    <t>Explanation lists the factors</t>
  </si>
  <si>
    <t>Any context flag set</t>
  </si>
  <si>
    <t>1. Read the preview explanation and the ticket audit.</t>
  </si>
  <si>
    <t>'Factors: …' lists every rule that applied, separated by semicolons.</t>
  </si>
  <si>
    <t>TC-PRI-07</t>
  </si>
  <si>
    <t>29.7 Audit record</t>
  </si>
  <si>
    <t>Each automatic classification is audited</t>
  </si>
  <si>
    <t>Ticket created in automatic mode</t>
  </si>
  <si>
    <t>1. Open the Audit page and filter by the ticket.</t>
  </si>
  <si>
    <t>A 'ticket.priority_assessed' record lists source, impact, urgency, priority and factors.</t>
  </si>
  <si>
    <t>TC-PRI-08</t>
  </si>
  <si>
    <t>29.8 Manual override</t>
  </si>
  <si>
    <t>Staff manual priority is unchanged by the rules</t>
  </si>
  <si>
    <t>Agent ticks 'Override automatic priority' and enters impact, urgency and a reason</t>
  </si>
  <si>
    <t>1. Create the ticket.</t>
  </si>
  <si>
    <t>The chosen impact and urgency are kept; no automatic factors are applied; the reason is recorded.</t>
  </si>
  <si>
    <t>Automated coverage: tests/priority.test.ts</t>
  </si>
  <si>
    <t>TC-PRI-09</t>
  </si>
  <si>
    <t>29.9 VIP limitation</t>
  </si>
  <si>
    <t>Preview cannot show VIP status (known limitation)</t>
  </si>
  <si>
    <t>Requester is a VIP</t>
  </si>
  <si>
    <t xml:space="preserve">1. Preview a request from a VIP requester.
2. Submit and compare.</t>
  </si>
  <si>
    <t>The final priority can be higher than the preview. Document, do not treat as a failure.</t>
  </si>
  <si>
    <t>Requester (VIP)</t>
  </si>
  <si>
    <t>TC-PRI-10</t>
  </si>
  <si>
    <t>29.10 Bad hint ignored</t>
  </si>
  <si>
    <t>Invalid affectedPeople is ignored by ticket creation</t>
  </si>
  <si>
    <t>API client</t>
  </si>
  <si>
    <t>1. POST /api/v1/tickets with affectedPeople 'everyone'.</t>
  </si>
  <si>
    <t>Ticket is created (201); the invalid value is dropped.</t>
  </si>
  <si>
    <t>API integration</t>
  </si>
  <si>
    <t>Automated coverage: tests/externalIntegration.test.ts</t>
  </si>
  <si>
    <t>30. Who &amp; Where: Requester Picker and Location (Phase G)</t>
  </si>
  <si>
    <t>TC-LOC-01</t>
  </si>
  <si>
    <t>30.1 Keyboard</t>
  </si>
  <si>
    <t>Picker works with the keyboard</t>
  </si>
  <si>
    <t xml:space="preserve">1. Tab to 'Requester (who)'.
2. Type 'San Fran'.
3. Press ArrowDown, then Enter.
4. Open again and press Escape. Press Tab to leave.</t>
  </si>
  <si>
    <t>ArrowDown moves the highlight; Enter selects it and fills the email; Escape closes the list; Tab closes it.</t>
  </si>
  <si>
    <t>New in v2. Live API check: Partial (browser: ArrowDown + Enter)</t>
  </si>
  <si>
    <t>Automated coverage: tests/requesterSearch.test.ts (search only)</t>
  </si>
  <si>
    <t>TC-LOC-02</t>
  </si>
  <si>
    <t>30.2 Mouse</t>
  </si>
  <si>
    <t>Mouse selection works without losing focus</t>
  </si>
  <si>
    <t>1. Type a name and click a result.</t>
  </si>
  <si>
    <t>The result is selected and the email is filled; the list closes.</t>
  </si>
  <si>
    <t>TC-LOC-03</t>
  </si>
  <si>
    <t>30.3 Empty search</t>
  </si>
  <si>
    <t>Empty search lists active users alphabetically</t>
  </si>
  <si>
    <t>1. Focus the picker without typing.</t>
  </si>
  <si>
    <t>Users are listed alphabetically (name). The status line reports 'More matches available' when there are more than 20.</t>
  </si>
  <si>
    <t>Automated coverage: tests/requesterSearch.test.ts</t>
  </si>
  <si>
    <t>TC-LOC-04</t>
  </si>
  <si>
    <t>30.4 Location pre-fill</t>
  </si>
  <si>
    <t>Choosing a person fills the location; typing an email keeps it</t>
  </si>
  <si>
    <t xml:space="preserve">1. Choose Dana Lee (location San Francisco, US).
2. Edit the location.
3. Type a different email by hand.</t>
  </si>
  <si>
    <t>Step 1 fills 'San Francisco, US'. Step 2 is editable. Step 3 keeps the location entered (not cleared).</t>
  </si>
  <si>
    <t>New in v2. Live API check: Partial (browser: pre-fill)</t>
  </si>
  <si>
    <t>TC-LOC-05</t>
  </si>
  <si>
    <t>30.5 Stored and shown</t>
  </si>
  <si>
    <t>Location is saved on the ticket and shown to agents</t>
  </si>
  <si>
    <t>Location entered</t>
  </si>
  <si>
    <t xml:space="preserve">1. Create the ticket.
2. Open it as an agent.</t>
  </si>
  <si>
    <t>The ticket properties show 'Location: &lt;value&gt;'. Empty location shows '—'.</t>
  </si>
  <si>
    <t>Automated coverage: tests/ticketService (customFields) / verify-phases</t>
  </si>
  <si>
    <t>TC-LOC-06</t>
  </si>
  <si>
    <t>30.6 Profile fallback</t>
  </si>
  <si>
    <t>Requester without an entered location gets the profile location</t>
  </si>
  <si>
    <t>Requester has a profile location</t>
  </si>
  <si>
    <t>1. Agent creates a ticket for that requester with the location left empty.</t>
  </si>
  <si>
    <t>Ticket shows the requester's profile location.</t>
  </si>
  <si>
    <t>TC-LOC-07</t>
  </si>
  <si>
    <t>30.7 Size and injection</t>
  </si>
  <si>
    <t>Long location is trimmed or dropped; other custom fields cannot be injected</t>
  </si>
  <si>
    <t xml:space="preserve">1. Enter a 200-character location via API.
2. Send customFields in the request body.</t>
  </si>
  <si>
    <t>Over-long location is dropped (profile location used). customFields from the client are ignored.</t>
  </si>
  <si>
    <t>Automated coverage: verify-phases (G)</t>
  </si>
  <si>
    <t>TC-LOC-08</t>
  </si>
  <si>
    <t>30.8 Tenant and status</t>
  </si>
  <si>
    <t>Inactive users and other tenants' users are not offered</t>
  </si>
  <si>
    <t>A deactivated user; a user in another tenant</t>
  </si>
  <si>
    <t xml:space="preserve">1. Search for the deactivated user.
2. Search for the other tenant's user by name.</t>
  </si>
  <si>
    <t>Neither appears in the results.</t>
  </si>
  <si>
    <t>Agent (Tenant A)</t>
  </si>
  <si>
    <t>Automated coverage: tests/requesterSearch.test.ts; tests/tenantUserIsolation.test.ts</t>
  </si>
  <si>
    <t>TC-LOC-09</t>
  </si>
  <si>
    <t>30.9 Screen reader</t>
  </si>
  <si>
    <t>Combobox announces the active option and results</t>
  </si>
  <si>
    <t>Screen reader (NVDA or VoiceOver)</t>
  </si>
  <si>
    <t xml:space="preserve">1. Focus the picker.
2. Type, then move with the arrow keys.</t>
  </si>
  <si>
    <t>The input announces 'combobox', the expanded state and the highlighted option. Result count is announced in the status line.</t>
  </si>
  <si>
    <t>Agent (assistive technology)</t>
  </si>
  <si>
    <t>New in v2. Live API check: No (not verified)</t>
  </si>
  <si>
    <t>Known issues found during re-verification (branch 48cfff5, 13-Oct-2026)</t>
  </si>
  <si>
    <t>ID</t>
  </si>
  <si>
    <t>Severity</t>
  </si>
  <si>
    <t>Issue</t>
  </si>
  <si>
    <t>Evidence and where to look</t>
  </si>
  <si>
    <t>Affected test cases</t>
  </si>
  <si>
    <t>KI-01</t>
  </si>
  <si>
    <t>Deactivated users appear in the ticket Assignee dropdown.</t>
  </si>
  <si>
    <t>GET /users returns deactivated users (active=false). The ticket page builds the dropdown from that list with no active filter (src/app/tickets/[id]/page.tsx:85; TicketProperties.tsx agents filter). Fix: filter to active users in the UI and in the list endpoint default.</t>
  </si>
  <si>
    <t>TC-TRG-02, TC-AVL-05 note</t>
  </si>
  <si>
    <t>KI-02</t>
  </si>
  <si>
    <t>Availability reads 'unconfigured' until working hours are set, and the suggestion panel says 'No member is available right now.' for every group when hours are missing.</t>
  </si>
  <si>
    <t>Board staff status = unconfigured for every user without a calendar. Suggestion penalty (×0.7) applies to all groups equally, so ranking is unaffected but the message is misleading. Fix: show 'working hours not configured' instead of 'unavailable'.</t>
  </si>
  <si>
    <t>TC-AVL-01, TC-SUG-09</t>
  </si>
  <si>
    <t>KI-03</t>
  </si>
  <si>
    <t>Routine request gets P3, record expects P4/P5.</t>
  </si>
  <si>
    <t>Rules fallback (no AI provider configured) returns impact and urgency medium for 'I need help installing software on my laptop.' The deployed environment used an AI provider, so the result there may differ. Decide the expected result or tune the rules.</t>
  </si>
  <si>
    <t>KI-04</t>
  </si>
  <si>
    <t>Original summary formulas were wrong.</t>
  </si>
  <si>
    <t>Total used COUNTA(A9:A85), which counts section headers and stops at row 85; the record showed 77 total, 25 Passed, 19 Not Run, and no In Progress count. Actual: 65 test rows, 26 Passed, 25 Not Run, 5 In Progress, 9 Failed. Fixed in v2.</t>
  </si>
  <si>
    <t>Summary block (rows 4-7)</t>
  </si>
  <si>
    <t>KI-05</t>
  </si>
  <si>
    <t>Deactivated users cannot be reactivated by PATCH.</t>
  </si>
  <si>
    <t>PATCH active=true returns 409 'Generate a new setup link instead of activating an account without credentials.' This is a security control, but it means test data cannot be restored through the API. Anita Desai remains deactivated in the verification store.</t>
  </si>
  <si>
    <t>TC-WHO-03, TC-TRG-02</t>
  </si>
  <si>
    <t>KI-06</t>
  </si>
  <si>
    <t>New organizations and users are created inactive.</t>
  </si>
  <si>
    <t>Organization admin and new users start with active=false until a setup link is completed. Cross-tenant tests need an activated user (done via access-link in this round).</t>
  </si>
  <si>
    <t>Onboarding, TC-SEC-07, TC-LOC-08</t>
  </si>
  <si>
    <t>KI-07</t>
  </si>
  <si>
    <t>Blocked accept returns 409, the record expects a permission error.</t>
  </si>
  <si>
    <t>Another agent accepting an offer returns 409 'This ticket cannot be accepted by you or was already picked up.' The action is blocked; the status code differs from the expected 403.</t>
  </si>
  <si>
    <t>KI-08</t>
  </si>
  <si>
    <t>Security wording over-matches.</t>
  </si>
  <si>
    <t>The word 'breach' matches an SLA breach too and forces priority to at least high (Phase F rule). Review the word list.</t>
  </si>
  <si>
    <t>KI-09</t>
  </si>
  <si>
    <t>VIP status is not in the live priority preview.</t>
  </si>
  <si>
    <t>The preview cannot look up the requester, so the final priority can be higher for a VIP than the preview shows. Known limitation.</t>
  </si>
  <si>
    <t>KI-10</t>
  </si>
  <si>
    <t>Capacity counts only accepted work.</t>
  </si>
  <si>
    <t>Assigned but not yet accepted tickets do not reduce availability. This matches the workflow design, but explains why 'assigned' tickets did not make an agent Busy in the record (TC-AVL-02 Failed).</t>
  </si>
  <si>
    <t>TC-AVL-02, TC-AVL-03</t>
  </si>
  <si>
    <t>KI-11</t>
  </si>
  <si>
    <t>Not verified: browser keyboard beyond ArrowDown/Enter, and screen readers.</t>
  </si>
  <si>
    <t>The picker's Escape and Tab behaviour and the announced text are unverified in a browser.</t>
  </si>
  <si>
    <t>TC-LOC-01, TC-LOC-09</t>
  </si>
  <si>
    <t>Environment and setup notes</t>
  </si>
  <si>
    <t>Email delivery</t>
  </si>
  <si>
    <t>Not configured in the verification environment. Notifications are in-app only; requester confirmation links (TC-CNF-01, TC-SEC-01/03/04) cannot be exercised without a real email token.</t>
  </si>
  <si>
    <t>Teams presence</t>
  </si>
  <si>
    <t>Not configured. TC-TMS-01 and TC-TMS-02 are not testable here.</t>
  </si>
  <si>
    <t>AI provider</t>
  </si>
  <si>
    <t>Not configured. Priority and summaries use the rules fallback, so AI-dependent expectations may differ.</t>
  </si>
  <si>
    <t>Persistence</t>
  </si>
  <si>
    <t>Verification ran against the in-memory demo store (DATA_DRIVER=memory). Database attachment storage (TC-ATT-13) needs Postgres and the migration 20261014090000.</t>
  </si>
  <si>
    <t>Sign-in</t>
  </si>
  <si>
    <t>Set AUTH_SECRET (32+ characters) for browser sign-in. Without it NextAuth reports MissingSecret and demo cards do not start a session.</t>
  </si>
  <si>
    <t>Tenant selection (demo)</t>
  </si>
  <si>
    <t>In demo mode, API calls that send only x-actor act in the default tenant. Add x-tenant with the organization id to act in another tenant.</t>
  </si>
  <si>
    <t>Escalation timing</t>
  </si>
  <si>
    <t>The dev server runs the SLA sweep every minute. Set a 1-minute stage to observe warning and escalation (TC-MGR-01, TC-SRM-01). Restore the stages afterwards.</t>
  </si>
  <si>
    <t>Test data</t>
  </si>
  <si>
    <t>Verification created tickets, notifications and an extra organization ('Verification Org B') in the in-memory store. These disappear when the dev server restarts.</t>
  </si>
  <si>
    <t>Automated checks to run before manual testing</t>
  </si>
  <si>
    <t>npm test (336 tests), npm run typecheck, npm run lint, npm run build. Live API check script for the new phases: verify-phases.mjs (53 checks). Production environment check: node scripts/check-production-environment.cjs with the production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</si>
</sst>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1F4E79"/>
      <sz val="15"/>
      <name val="Calibri"/>
    </font>
    <font>
      <i/>
      <color rgb="FF595959"/>
      <sz val="9"/>
      <name val="Calibri"/>
    </font>
    <font>
      <b/>
      <color rgb="FF333333"/>
      <sz val="8"/>
      <name val="Calibri"/>
    </font>
    <font>
      <color rgb="FF333333"/>
      <sz val="8"/>
      <name val="Calibri"/>
    </font>
    <font>
      <b/>
      <color rgb="FF000000"/>
      <sz val="8"/>
      <name val="Calibri"/>
    </font>
    <font>
      <i/>
      <color rgb="FF595959"/>
      <sz val="9"/>
    </font>
    <font>
      <b/>
      <sz val="10"/>
    </font>
    <font>
      <b/>
      <color rgb="FFFFFFFF"/>
      <sz val="9"/>
      <name val="Calibri"/>
    </font>
    <font>
      <b/>
      <color rgb="FF1F4E79"/>
      <sz val="10"/>
      <name val="Calibri"/>
    </font>
    <font>
      <color rgb="FF000000"/>
      <sz val="8"/>
      <name val="Calibri"/>
    </font>
    <font>
      <b/>
      <color rgb="FF78281F"/>
      <sz val="8"/>
      <name val="Calibri"/>
    </font>
    <font>
      <b/>
      <color rgb="FFC00000"/>
      <sz val="8"/>
      <name val="Calibri"/>
    </font>
    <font>
      <b/>
      <color rgb="FFED7D31"/>
      <sz val="8"/>
      <name val="Calibri"/>
    </font>
    <font>
      <b/>
      <sz val="13"/>
    </font>
    <font>
      <b/>
      <color rgb="FF1F4E79"/>
    </font>
    <font>
      <b/>
      <sz val="12"/>
    </font>
    <font>
      <b/>
    </font>
  </fonts>
  <fills count="7">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F2F5F9"/>
        <bgColor rgb="FFF2F5F9"/>
      </patternFill>
    </fill>
    <fill>
      <patternFill patternType="solid">
        <fgColor rgb="FFFFFFFF"/>
        <bgColor rgb="FFFFFFFF"/>
      </patternFill>
    </fill>
    <fill>
      <patternFill patternType="solid">
        <fgColor rgb="FFD9E1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vertical="center" wrapText="1"/>
    </xf>
    <xf numFmtId="0" fontId="9" fillId="3" borderId="1" xfId="0" applyFont="1" applyFill="1" applyBorder="1" applyAlignment="1">
      <alignment horizontal="left" vertical="center" indent="1"/>
    </xf>
    <xf numFmtId="0" fontId="0" fillId="0" borderId="1" xfId="0" applyBorder="1"/>
    <xf numFmtId="0" fontId="5" fillId="4" borderId="1" xfId="0" applyFont="1" applyFill="1" applyBorder="1" applyAlignment="1">
      <alignment horizontal="center" vertical="top"/>
    </xf>
    <xf numFmtId="0" fontId="10" fillId="4" borderId="1" xfId="0" applyFont="1" applyFill="1" applyBorder="1" applyAlignment="1">
      <alignment horizontal="left" vertical="top"/>
    </xf>
    <xf numFmtId="0" fontId="10" fillId="4" borderId="1" xfId="0" applyFont="1" applyFill="1" applyBorder="1" applyAlignment="1">
      <alignment horizontal="left" vertical="top" wrapText="1"/>
    </xf>
    <xf numFmtId="0" fontId="11" fillId="4" borderId="1" xfId="0" applyFont="1" applyFill="1" applyBorder="1" applyAlignment="1">
      <alignment horizontal="center" vertical="top"/>
    </xf>
    <xf numFmtId="0" fontId="10" fillId="4" borderId="1" xfId="0" applyFont="1" applyFill="1" applyBorder="1" applyAlignment="1">
      <alignment horizontal="center" vertical="top"/>
    </xf>
    <xf numFmtId="0" fontId="10" fillId="4" borderId="1" xfId="0" applyFont="1" applyFill="1" applyBorder="1" applyAlignment="1">
      <alignment vertical="top" wrapText="1"/>
    </xf>
    <xf numFmtId="0" fontId="5" fillId="5" borderId="1" xfId="0" applyFont="1" applyFill="1" applyBorder="1" applyAlignment="1">
      <alignment horizontal="center" vertical="top"/>
    </xf>
    <xf numFmtId="0" fontId="10" fillId="5" borderId="1" xfId="0" applyFont="1" applyFill="1" applyBorder="1" applyAlignment="1">
      <alignment horizontal="left" vertical="top"/>
    </xf>
    <xf numFmtId="0" fontId="10" fillId="5" borderId="1" xfId="0" applyFont="1" applyFill="1" applyBorder="1" applyAlignment="1">
      <alignment horizontal="left" vertical="top" wrapText="1"/>
    </xf>
    <xf numFmtId="0" fontId="11" fillId="5" borderId="1" xfId="0" applyFont="1" applyFill="1" applyBorder="1" applyAlignment="1">
      <alignment horizontal="center" vertical="top"/>
    </xf>
    <xf numFmtId="0" fontId="10" fillId="5" borderId="1" xfId="0" applyFont="1" applyFill="1" applyBorder="1" applyAlignment="1">
      <alignment horizontal="center" vertical="top"/>
    </xf>
    <xf numFmtId="0" fontId="10" fillId="5" borderId="1" xfId="0" applyFont="1" applyFill="1" applyBorder="1" applyAlignment="1">
      <alignment vertical="top" wrapText="1"/>
    </xf>
    <xf numFmtId="0" fontId="12" fillId="4" borderId="1" xfId="0" applyFont="1" applyFill="1" applyBorder="1" applyAlignment="1">
      <alignment horizontal="center" vertical="top"/>
    </xf>
    <xf numFmtId="0" fontId="13" fillId="5" borderId="1" xfId="0" applyFont="1" applyFill="1" applyBorder="1" applyAlignment="1">
      <alignment horizontal="center" vertical="top"/>
    </xf>
    <xf numFmtId="0" fontId="13" fillId="4" borderId="1" xfId="0" applyFont="1" applyFill="1" applyBorder="1" applyAlignment="1">
      <alignment horizontal="center" vertical="top"/>
    </xf>
    <xf numFmtId="0" fontId="12" fillId="5" borderId="1" xfId="0" applyFont="1" applyFill="1" applyBorder="1" applyAlignment="1">
      <alignment horizontal="center" vertical="top"/>
    </xf>
    <xf numFmtId="0" fontId="5" fillId="4" borderId="1" xfId="0" applyFont="1" applyFill="1" applyBorder="1" applyAlignment="1">
      <alignment vertical="top" wrapText="1"/>
    </xf>
    <xf numFmtId="0" fontId="11" fillId="4" borderId="1" xfId="0" applyFont="1" applyFill="1" applyBorder="1" applyAlignment="1">
      <alignment vertical="top" wrapText="1"/>
    </xf>
    <xf numFmtId="0" fontId="14" fillId="0" borderId="0" xfId="0" applyFont="1"/>
    <xf numFmtId="0" fontId="15" fillId="6" borderId="0" xfId="0" applyFont="1" applyFill="1" applyAlignment="1">
      <alignment vertical="top" wrapText="1"/>
    </xf>
    <xf numFmtId="0" fontId="0" fillId="0" borderId="0" xfId="0" applyAlignment="1">
      <alignment vertical="top" wrapText="1"/>
    </xf>
    <xf numFmtId="0" fontId="16" fillId="0" borderId="0" xfId="0" applyFont="1"/>
    <xf numFmtId="0" fontId="1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8"/>
  <sheetViews>
    <sheetView workbookViewId="0" zoomScale="100" zoomScaleNormal="100">
      <pane ySplit="8" topLeftCell="C9" activePane="bottomLeft" state="frozen"/>
      <selection pane="bottomLeft" activeCell="K12" sqref="K12"/>
    </sheetView>
  </sheetViews>
  <sheetFormatPr defaultRowHeight="15" outlineLevelRow="0" outlineLevelCol="0" x14ac:dyDescent="0"/>
  <cols>
    <col min="1" max="1" width="13" customWidth="1"/>
    <col min="2" max="2" width="24" customWidth="1"/>
    <col min="3" max="3" width="32" customWidth="1"/>
    <col min="4" max="4" width="28" customWidth="1"/>
    <col min="5" max="6" width="38" customWidth="1"/>
    <col min="7" max="7" width="11" customWidth="1"/>
    <col min="8" max="8" width="18" customWidth="1"/>
    <col min="9" max="10" width="14" customWidth="1"/>
    <col min="11" max="11" width="28" customWidth="1"/>
    <col min="12" max="12" width="26" customWidth="1"/>
    <col min="13" max="13" width="70" customWidth="1"/>
  </cols>
  <sheetData>
    <row r="1" spans="1:1" x14ac:dyDescent="0.25">
      <c r="A1" s="1" t="s">
        <v>0</v>
      </c>
    </row>
    <row r="2" spans="1:1" x14ac:dyDescent="0.25">
      <c r="A2" s="2" t="s">
        <v>1</v>
      </c>
    </row>
    <row r="4" spans="1:8" x14ac:dyDescent="0.25">
      <c r="A4" s="3" t="s">
        <v>2</v>
      </c>
      <c r="B4" s="4" t="s">
        <v>3</v>
      </c>
      <c r="C4" s="3" t="s">
        <v>4</v>
      </c>
      <c r="D4" s="4" t="s">
        <v>5</v>
      </c>
      <c r="E4" s="3" t="s">
        <v>6</v>
      </c>
      <c r="F4" s="4" t="s">
        <v>7</v>
      </c>
      <c r="G4" s="3" t="s">
        <v>8</v>
      </c>
      <c r="H4" s="5">
        <f>COUNTIF(A9:A400,"TC-*")</f>
        <v>133</v>
      </c>
    </row>
    <row r="5" spans="1:8" x14ac:dyDescent="0.25">
      <c r="A5" s="3" t="s">
        <v>9</v>
      </c>
      <c r="B5" s="4" t="s">
        <v>10</v>
      </c>
      <c r="C5" s="3" t="s">
        <v>11</v>
      </c>
      <c r="D5" s="4" t="s">
        <v>12</v>
      </c>
      <c r="E5" s="3" t="s">
        <v>13</v>
      </c>
      <c r="F5" s="4">
        <f>COUNTIF(I9:I400,"Passed")</f>
        <v>26</v>
      </c>
      <c r="G5" s="3" t="s">
        <v>14</v>
      </c>
      <c r="H5" s="5">
        <f>COUNTIF(I9:I400,"Failed")</f>
        <v>9</v>
      </c>
    </row>
    <row r="6" spans="1:8" x14ac:dyDescent="0.25">
      <c r="A6" s="3" t="s">
        <v>15</v>
      </c>
      <c r="B6" s="4" t="s">
        <v>16</v>
      </c>
      <c r="C6" s="3" t="s">
        <v>17</v>
      </c>
      <c r="D6" s="4" t="s">
        <v>18</v>
      </c>
      <c r="E6" s="3" t="s">
        <v>19</v>
      </c>
      <c r="F6" s="4">
        <f>COUNTIF(I9:I400,"Blocked")</f>
        <v>0</v>
      </c>
      <c r="G6" s="3" t="s">
        <v>20</v>
      </c>
      <c r="H6" s="5">
        <f>COUNTIF(I9:I400,"Not Run")</f>
        <v>25</v>
      </c>
    </row>
    <row r="7" spans="1:8" x14ac:dyDescent="0.25">
      <c r="A7" s="6" t="s">
        <v>21</v>
      </c>
      <c r="G7" s="7" t="s">
        <v>22</v>
      </c>
      <c r="H7">
        <f>COUNTIF(I9:I400,"In Progress")</f>
        <v>5</v>
      </c>
    </row>
    <row r="8" ht="27.95" customHeight="1" spans="1:13" x14ac:dyDescent="0.25">
      <c r="A8" s="8" t="s">
        <v>23</v>
      </c>
      <c r="B8" s="8" t="s">
        <v>24</v>
      </c>
      <c r="C8" s="8" t="s">
        <v>25</v>
      </c>
      <c r="D8" s="8" t="s">
        <v>26</v>
      </c>
      <c r="E8" s="8" t="s">
        <v>27</v>
      </c>
      <c r="F8" s="8" t="s">
        <v>28</v>
      </c>
      <c r="G8" s="8" t="s">
        <v>29</v>
      </c>
      <c r="H8" s="8" t="s">
        <v>30</v>
      </c>
      <c r="I8" s="8" t="s">
        <v>31</v>
      </c>
      <c r="J8" s="8" t="s">
        <v>32</v>
      </c>
      <c r="K8" s="8" t="s">
        <v>33</v>
      </c>
      <c r="L8" s="8" t="s">
        <v>34</v>
      </c>
      <c r="M8" s="8" t="s">
        <v>35</v>
      </c>
    </row>
    <row r="9" ht="20.1" customHeight="1" spans="1:11" x14ac:dyDescent="0.25">
      <c r="A9" s="9" t="s">
        <v>36</v>
      </c>
      <c r="B9" s="10"/>
      <c r="C9" s="10"/>
      <c r="D9" s="10"/>
      <c r="E9" s="10"/>
      <c r="F9" s="10"/>
      <c r="G9" s="10"/>
      <c r="H9" s="10"/>
      <c r="I9" s="10"/>
      <c r="J9" s="10"/>
      <c r="K9" s="10"/>
    </row>
    <row r="10" ht="42" customHeight="1" spans="1:13" x14ac:dyDescent="0.25">
      <c r="A10" s="11" t="s">
        <v>37</v>
      </c>
      <c r="B10" s="12" t="s">
        <v>38</v>
      </c>
      <c r="C10" s="13" t="s">
        <v>39</v>
      </c>
      <c r="D10" s="13" t="s">
        <v>40</v>
      </c>
      <c r="E10" s="13" t="s">
        <v>41</v>
      </c>
      <c r="F10" s="13" t="s">
        <v>42</v>
      </c>
      <c r="G10" s="14" t="s">
        <v>43</v>
      </c>
      <c r="H10" s="15" t="s">
        <v>44</v>
      </c>
      <c r="I10" s="15" t="s">
        <v>45</v>
      </c>
      <c r="J10" s="15"/>
      <c r="K10" s="13"/>
      <c r="L10" s="16" t="s">
        <v>46</v>
      </c>
      <c r="M10" s="16" t="s">
        <v>47</v>
      </c>
    </row>
    <row r="11" ht="42" customHeight="1" spans="1:13" x14ac:dyDescent="0.25">
      <c r="A11" s="17" t="s">
        <v>48</v>
      </c>
      <c r="B11" s="18" t="s">
        <v>49</v>
      </c>
      <c r="C11" s="19" t="s">
        <v>50</v>
      </c>
      <c r="D11" s="19" t="s">
        <v>51</v>
      </c>
      <c r="E11" s="19" t="s">
        <v>52</v>
      </c>
      <c r="F11" s="19" t="s">
        <v>53</v>
      </c>
      <c r="G11" s="20" t="s">
        <v>43</v>
      </c>
      <c r="H11" s="21" t="s">
        <v>44</v>
      </c>
      <c r="I11" s="21" t="s">
        <v>54</v>
      </c>
      <c r="J11" s="21"/>
      <c r="K11" s="19"/>
      <c r="L11" s="22" t="s">
        <v>46</v>
      </c>
      <c r="M11" s="22" t="s">
        <v>55</v>
      </c>
    </row>
    <row r="12" ht="42" customHeight="1" spans="1:13" x14ac:dyDescent="0.25">
      <c r="A12" s="11" t="s">
        <v>56</v>
      </c>
      <c r="B12" s="12" t="s">
        <v>57</v>
      </c>
      <c r="C12" s="13" t="s">
        <v>58</v>
      </c>
      <c r="D12" s="13" t="s">
        <v>59</v>
      </c>
      <c r="E12" s="13" t="s">
        <v>60</v>
      </c>
      <c r="F12" s="13" t="s">
        <v>61</v>
      </c>
      <c r="G12" s="23" t="s">
        <v>62</v>
      </c>
      <c r="H12" s="15" t="s">
        <v>44</v>
      </c>
      <c r="I12" s="15" t="s">
        <v>54</v>
      </c>
      <c r="J12" s="15"/>
      <c r="K12" s="13"/>
      <c r="L12" s="16" t="s">
        <v>63</v>
      </c>
      <c r="M12" s="16" t="s">
        <v>64</v>
      </c>
    </row>
    <row r="13" ht="20.1" customHeight="1" spans="1:11" x14ac:dyDescent="0.25">
      <c r="A13" s="9" t="s">
        <v>65</v>
      </c>
      <c r="B13" s="10"/>
      <c r="C13" s="10"/>
      <c r="D13" s="10"/>
      <c r="E13" s="10"/>
      <c r="F13" s="10"/>
      <c r="G13" s="10"/>
      <c r="H13" s="10"/>
      <c r="I13" s="10"/>
      <c r="J13" s="10"/>
      <c r="K13" s="10"/>
    </row>
    <row r="14" ht="42" customHeight="1" spans="1:13" x14ac:dyDescent="0.25">
      <c r="A14" s="11" t="s">
        <v>66</v>
      </c>
      <c r="B14" s="12" t="s">
        <v>67</v>
      </c>
      <c r="C14" s="13" t="s">
        <v>68</v>
      </c>
      <c r="D14" s="13" t="s">
        <v>69</v>
      </c>
      <c r="E14" s="13" t="s">
        <v>70</v>
      </c>
      <c r="F14" s="13" t="s">
        <v>71</v>
      </c>
      <c r="G14" s="23" t="s">
        <v>62</v>
      </c>
      <c r="H14" s="15" t="s">
        <v>72</v>
      </c>
      <c r="I14" s="15" t="s">
        <v>45</v>
      </c>
      <c r="J14" s="15"/>
      <c r="K14" s="13"/>
      <c r="L14" s="16" t="s">
        <v>46</v>
      </c>
      <c r="M14" s="16" t="s">
        <v>73</v>
      </c>
    </row>
    <row r="15" ht="42" customHeight="1" spans="1:13" x14ac:dyDescent="0.25">
      <c r="A15" s="17" t="s">
        <v>74</v>
      </c>
      <c r="B15" s="18" t="s">
        <v>75</v>
      </c>
      <c r="C15" s="19" t="s">
        <v>76</v>
      </c>
      <c r="D15" s="19" t="s">
        <v>77</v>
      </c>
      <c r="E15" s="19" t="s">
        <v>78</v>
      </c>
      <c r="F15" s="19" t="s">
        <v>79</v>
      </c>
      <c r="G15" s="24" t="s">
        <v>80</v>
      </c>
      <c r="H15" s="21" t="s">
        <v>72</v>
      </c>
      <c r="I15" s="21" t="s">
        <v>45</v>
      </c>
      <c r="J15" s="21"/>
      <c r="K15" s="19"/>
      <c r="L15" s="22" t="s">
        <v>46</v>
      </c>
      <c r="M15" s="22" t="s">
        <v>81</v>
      </c>
    </row>
    <row r="16" ht="42" customHeight="1" spans="1:13" x14ac:dyDescent="0.25">
      <c r="A16" s="11" t="s">
        <v>82</v>
      </c>
      <c r="B16" s="12" t="s">
        <v>83</v>
      </c>
      <c r="C16" s="13" t="s">
        <v>84</v>
      </c>
      <c r="D16" s="13" t="s">
        <v>85</v>
      </c>
      <c r="E16" s="13" t="s">
        <v>86</v>
      </c>
      <c r="F16" s="13" t="s">
        <v>87</v>
      </c>
      <c r="G16" s="23" t="s">
        <v>62</v>
      </c>
      <c r="H16" s="15" t="s">
        <v>72</v>
      </c>
      <c r="I16" s="15" t="s">
        <v>45</v>
      </c>
      <c r="J16" s="15"/>
      <c r="K16" s="13"/>
      <c r="L16" s="16" t="s">
        <v>46</v>
      </c>
      <c r="M16" s="16" t="s">
        <v>88</v>
      </c>
    </row>
    <row r="17" ht="42" customHeight="1" spans="1:13" x14ac:dyDescent="0.25">
      <c r="A17" s="17" t="s">
        <v>89</v>
      </c>
      <c r="B17" s="18" t="s">
        <v>90</v>
      </c>
      <c r="C17" s="19" t="s">
        <v>91</v>
      </c>
      <c r="D17" s="19" t="s">
        <v>92</v>
      </c>
      <c r="E17" s="19" t="s">
        <v>93</v>
      </c>
      <c r="F17" s="19" t="s">
        <v>94</v>
      </c>
      <c r="G17" s="20" t="s">
        <v>43</v>
      </c>
      <c r="H17" s="21" t="s">
        <v>95</v>
      </c>
      <c r="I17" s="21" t="s">
        <v>45</v>
      </c>
      <c r="J17" s="21"/>
      <c r="K17" s="19"/>
      <c r="L17" s="22" t="s">
        <v>46</v>
      </c>
      <c r="M17" s="22" t="s">
        <v>96</v>
      </c>
    </row>
    <row r="18" ht="20.1" customHeight="1" spans="1:11" x14ac:dyDescent="0.25">
      <c r="A18" s="9" t="s">
        <v>97</v>
      </c>
      <c r="B18" s="10"/>
      <c r="C18" s="10"/>
      <c r="D18" s="10"/>
      <c r="E18" s="10"/>
      <c r="F18" s="10"/>
      <c r="G18" s="10"/>
      <c r="H18" s="10"/>
      <c r="I18" s="10"/>
      <c r="J18" s="10"/>
      <c r="K18" s="10"/>
    </row>
    <row r="19" ht="42" customHeight="1" spans="1:13" x14ac:dyDescent="0.25">
      <c r="A19" s="17" t="s">
        <v>98</v>
      </c>
      <c r="B19" s="18" t="s">
        <v>99</v>
      </c>
      <c r="C19" s="19" t="s">
        <v>100</v>
      </c>
      <c r="D19" s="19" t="s">
        <v>101</v>
      </c>
      <c r="E19" s="19" t="s">
        <v>102</v>
      </c>
      <c r="F19" s="19" t="s">
        <v>103</v>
      </c>
      <c r="G19" s="24" t="s">
        <v>80</v>
      </c>
      <c r="H19" s="21" t="s">
        <v>104</v>
      </c>
      <c r="I19" s="21" t="s">
        <v>45</v>
      </c>
      <c r="J19" s="21"/>
      <c r="K19" s="19"/>
      <c r="L19" s="22" t="s">
        <v>105</v>
      </c>
      <c r="M19" s="22" t="s">
        <v>106</v>
      </c>
    </row>
    <row r="20" ht="42" customHeight="1" spans="1:13" x14ac:dyDescent="0.25">
      <c r="A20" s="11" t="s">
        <v>107</v>
      </c>
      <c r="B20" s="12" t="s">
        <v>108</v>
      </c>
      <c r="C20" s="13" t="s">
        <v>109</v>
      </c>
      <c r="D20" s="13" t="s">
        <v>101</v>
      </c>
      <c r="E20" s="13" t="s">
        <v>110</v>
      </c>
      <c r="F20" s="13" t="s">
        <v>111</v>
      </c>
      <c r="G20" s="25" t="s">
        <v>80</v>
      </c>
      <c r="H20" s="15" t="s">
        <v>104</v>
      </c>
      <c r="I20" s="15" t="s">
        <v>45</v>
      </c>
      <c r="J20" s="15"/>
      <c r="K20" s="13"/>
      <c r="L20" s="16" t="s">
        <v>46</v>
      </c>
      <c r="M20" s="16" t="s">
        <v>112</v>
      </c>
    </row>
    <row r="21" ht="42" customHeight="1" spans="1:13" x14ac:dyDescent="0.25">
      <c r="A21" s="17" t="s">
        <v>113</v>
      </c>
      <c r="B21" s="18" t="s">
        <v>114</v>
      </c>
      <c r="C21" s="19" t="s">
        <v>115</v>
      </c>
      <c r="D21" s="19" t="s">
        <v>101</v>
      </c>
      <c r="E21" s="19" t="s">
        <v>116</v>
      </c>
      <c r="F21" s="19" t="s">
        <v>117</v>
      </c>
      <c r="G21" s="20" t="s">
        <v>43</v>
      </c>
      <c r="H21" s="21" t="s">
        <v>104</v>
      </c>
      <c r="I21" s="21" t="s">
        <v>45</v>
      </c>
      <c r="J21" s="21"/>
      <c r="K21" s="19"/>
      <c r="L21" s="22" t="s">
        <v>46</v>
      </c>
      <c r="M21" s="22" t="s">
        <v>118</v>
      </c>
    </row>
    <row r="22" ht="42" customHeight="1" spans="1:13" x14ac:dyDescent="0.25">
      <c r="A22" s="11" t="s">
        <v>119</v>
      </c>
      <c r="B22" s="12" t="s">
        <v>120</v>
      </c>
      <c r="C22" s="13" t="s">
        <v>121</v>
      </c>
      <c r="D22" s="13" t="s">
        <v>101</v>
      </c>
      <c r="E22" s="13" t="s">
        <v>122</v>
      </c>
      <c r="F22" s="13" t="s">
        <v>123</v>
      </c>
      <c r="G22" s="23" t="s">
        <v>62</v>
      </c>
      <c r="H22" s="15" t="s">
        <v>104</v>
      </c>
      <c r="I22" s="15" t="s">
        <v>45</v>
      </c>
      <c r="J22" s="15"/>
      <c r="K22" s="13"/>
      <c r="L22" s="16" t="s">
        <v>46</v>
      </c>
      <c r="M22" s="16" t="s">
        <v>124</v>
      </c>
    </row>
    <row r="23" ht="42" customHeight="1" spans="1:13" x14ac:dyDescent="0.25">
      <c r="A23" s="17" t="s">
        <v>125</v>
      </c>
      <c r="B23" s="18" t="s">
        <v>126</v>
      </c>
      <c r="C23" s="19" t="s">
        <v>127</v>
      </c>
      <c r="D23" s="19" t="s">
        <v>128</v>
      </c>
      <c r="E23" s="19" t="s">
        <v>129</v>
      </c>
      <c r="F23" s="19" t="s">
        <v>130</v>
      </c>
      <c r="G23" s="26" t="s">
        <v>62</v>
      </c>
      <c r="H23" s="21" t="s">
        <v>131</v>
      </c>
      <c r="I23" s="21" t="s">
        <v>45</v>
      </c>
      <c r="J23" s="21"/>
      <c r="K23" s="19" t="s">
        <v>132</v>
      </c>
      <c r="L23" s="22" t="s">
        <v>46</v>
      </c>
      <c r="M23" s="22" t="s">
        <v>133</v>
      </c>
    </row>
    <row r="24" ht="42" customHeight="1" spans="1:13" x14ac:dyDescent="0.25">
      <c r="A24" s="11" t="s">
        <v>134</v>
      </c>
      <c r="B24" s="12" t="s">
        <v>135</v>
      </c>
      <c r="C24" s="13" t="s">
        <v>136</v>
      </c>
      <c r="D24" s="13" t="s">
        <v>137</v>
      </c>
      <c r="E24" s="13" t="s">
        <v>138</v>
      </c>
      <c r="F24" s="13" t="s">
        <v>139</v>
      </c>
      <c r="G24" s="23" t="s">
        <v>62</v>
      </c>
      <c r="H24" s="15" t="s">
        <v>131</v>
      </c>
      <c r="I24" s="15" t="s">
        <v>45</v>
      </c>
      <c r="J24" s="15"/>
      <c r="K24" s="13"/>
      <c r="L24" s="16" t="s">
        <v>46</v>
      </c>
      <c r="M24" s="16" t="s">
        <v>140</v>
      </c>
    </row>
    <row r="25" ht="20.1" customHeight="1" spans="1:11" x14ac:dyDescent="0.25">
      <c r="A25" s="9" t="s">
        <v>141</v>
      </c>
      <c r="B25" s="10"/>
      <c r="C25" s="10"/>
      <c r="D25" s="10"/>
      <c r="E25" s="10"/>
      <c r="F25" s="10"/>
      <c r="G25" s="10"/>
      <c r="H25" s="10"/>
      <c r="I25" s="10"/>
      <c r="J25" s="10"/>
      <c r="K25" s="10"/>
    </row>
    <row r="26" ht="42" customHeight="1" spans="1:13" x14ac:dyDescent="0.25">
      <c r="A26" s="11" t="s">
        <v>142</v>
      </c>
      <c r="B26" s="12" t="s">
        <v>143</v>
      </c>
      <c r="C26" s="13" t="s">
        <v>144</v>
      </c>
      <c r="D26" s="13" t="s">
        <v>145</v>
      </c>
      <c r="E26" s="13" t="s">
        <v>146</v>
      </c>
      <c r="F26" s="13" t="s">
        <v>147</v>
      </c>
      <c r="G26" s="25" t="s">
        <v>80</v>
      </c>
      <c r="H26" s="15" t="s">
        <v>72</v>
      </c>
      <c r="I26" s="15" t="s">
        <v>45</v>
      </c>
      <c r="J26" s="15"/>
      <c r="K26" s="13"/>
      <c r="L26" s="16" t="s">
        <v>148</v>
      </c>
      <c r="M26" s="16" t="s">
        <v>149</v>
      </c>
    </row>
    <row r="27" ht="42" customHeight="1" spans="1:13" x14ac:dyDescent="0.25">
      <c r="A27" s="17" t="s">
        <v>150</v>
      </c>
      <c r="B27" s="18" t="s">
        <v>151</v>
      </c>
      <c r="C27" s="19" t="s">
        <v>152</v>
      </c>
      <c r="D27" s="19" t="s">
        <v>153</v>
      </c>
      <c r="E27" s="19" t="s">
        <v>154</v>
      </c>
      <c r="F27" s="19" t="s">
        <v>155</v>
      </c>
      <c r="G27" s="26" t="s">
        <v>62</v>
      </c>
      <c r="H27" s="21" t="s">
        <v>72</v>
      </c>
      <c r="I27" s="21" t="s">
        <v>156</v>
      </c>
      <c r="J27" s="21"/>
      <c r="K27" s="19" t="s">
        <v>157</v>
      </c>
      <c r="L27" s="22" t="s">
        <v>46</v>
      </c>
      <c r="M27" s="22" t="s">
        <v>158</v>
      </c>
    </row>
    <row r="28" ht="42" customHeight="1" spans="1:13" x14ac:dyDescent="0.25">
      <c r="A28" s="11" t="s">
        <v>159</v>
      </c>
      <c r="B28" s="12" t="s">
        <v>160</v>
      </c>
      <c r="C28" s="13" t="s">
        <v>161</v>
      </c>
      <c r="D28" s="13" t="s">
        <v>162</v>
      </c>
      <c r="E28" s="13" t="s">
        <v>163</v>
      </c>
      <c r="F28" s="13" t="s">
        <v>164</v>
      </c>
      <c r="G28" s="25" t="s">
        <v>80</v>
      </c>
      <c r="H28" s="15" t="s">
        <v>72</v>
      </c>
      <c r="I28" s="15" t="s">
        <v>156</v>
      </c>
      <c r="J28" s="15"/>
      <c r="K28" s="13"/>
      <c r="L28" s="16" t="s">
        <v>46</v>
      </c>
      <c r="M28" s="16" t="s">
        <v>165</v>
      </c>
    </row>
    <row r="29" ht="42" customHeight="1" spans="1:13" x14ac:dyDescent="0.25">
      <c r="A29" s="17" t="s">
        <v>166</v>
      </c>
      <c r="B29" s="18" t="s">
        <v>167</v>
      </c>
      <c r="C29" s="19" t="s">
        <v>168</v>
      </c>
      <c r="D29" s="19" t="s">
        <v>169</v>
      </c>
      <c r="E29" s="19" t="s">
        <v>170</v>
      </c>
      <c r="F29" s="19" t="s">
        <v>171</v>
      </c>
      <c r="G29" s="24" t="s">
        <v>80</v>
      </c>
      <c r="H29" s="21" t="s">
        <v>172</v>
      </c>
      <c r="I29" s="21" t="s">
        <v>173</v>
      </c>
      <c r="J29" s="21"/>
      <c r="K29" s="19" t="s">
        <v>174</v>
      </c>
      <c r="L29" s="22" t="s">
        <v>46</v>
      </c>
      <c r="M29" s="22" t="s">
        <v>175</v>
      </c>
    </row>
    <row r="30" ht="42" customHeight="1" spans="1:13" x14ac:dyDescent="0.25">
      <c r="A30" s="11" t="s">
        <v>176</v>
      </c>
      <c r="B30" s="12" t="s">
        <v>177</v>
      </c>
      <c r="C30" s="13" t="s">
        <v>178</v>
      </c>
      <c r="D30" s="13" t="s">
        <v>179</v>
      </c>
      <c r="E30" s="13" t="s">
        <v>180</v>
      </c>
      <c r="F30" s="13" t="s">
        <v>181</v>
      </c>
      <c r="G30" s="25" t="s">
        <v>80</v>
      </c>
      <c r="H30" s="15" t="s">
        <v>182</v>
      </c>
      <c r="I30" s="15" t="s">
        <v>156</v>
      </c>
      <c r="J30" s="15"/>
      <c r="K30" s="13" t="s">
        <v>183</v>
      </c>
      <c r="L30" s="16" t="s">
        <v>46</v>
      </c>
      <c r="M30" s="16" t="s">
        <v>184</v>
      </c>
    </row>
    <row r="31" ht="42" customHeight="1" spans="1:13" x14ac:dyDescent="0.25">
      <c r="A31" s="17" t="s">
        <v>185</v>
      </c>
      <c r="B31" s="18" t="s">
        <v>186</v>
      </c>
      <c r="C31" s="19" t="s">
        <v>187</v>
      </c>
      <c r="D31" s="19" t="s">
        <v>188</v>
      </c>
      <c r="E31" s="19" t="s">
        <v>189</v>
      </c>
      <c r="F31" s="19" t="s">
        <v>181</v>
      </c>
      <c r="G31" s="24" t="s">
        <v>80</v>
      </c>
      <c r="H31" s="21" t="s">
        <v>182</v>
      </c>
      <c r="I31" s="21" t="s">
        <v>173</v>
      </c>
      <c r="J31" s="21"/>
      <c r="K31" s="19" t="s">
        <v>190</v>
      </c>
      <c r="L31" s="22" t="s">
        <v>46</v>
      </c>
      <c r="M31" s="22" t="s">
        <v>191</v>
      </c>
    </row>
    <row r="32" ht="42" customHeight="1" spans="1:13" x14ac:dyDescent="0.25">
      <c r="A32" s="11" t="s">
        <v>192</v>
      </c>
      <c r="B32" s="12" t="s">
        <v>193</v>
      </c>
      <c r="C32" s="13" t="s">
        <v>194</v>
      </c>
      <c r="D32" s="13" t="s">
        <v>195</v>
      </c>
      <c r="E32" s="13" t="s">
        <v>196</v>
      </c>
      <c r="F32" s="13" t="s">
        <v>197</v>
      </c>
      <c r="G32" s="25" t="s">
        <v>80</v>
      </c>
      <c r="H32" s="15" t="s">
        <v>172</v>
      </c>
      <c r="I32" s="15" t="s">
        <v>156</v>
      </c>
      <c r="J32" s="15"/>
      <c r="K32" s="13" t="s">
        <v>198</v>
      </c>
      <c r="L32" s="16" t="s">
        <v>46</v>
      </c>
      <c r="M32" s="16" t="s">
        <v>199</v>
      </c>
    </row>
    <row r="33" ht="42" customHeight="1" spans="1:13" x14ac:dyDescent="0.25">
      <c r="A33" s="17" t="s">
        <v>200</v>
      </c>
      <c r="B33" s="18" t="s">
        <v>201</v>
      </c>
      <c r="C33" s="19" t="s">
        <v>202</v>
      </c>
      <c r="D33" s="19" t="s">
        <v>203</v>
      </c>
      <c r="E33" s="19" t="s">
        <v>204</v>
      </c>
      <c r="F33" s="19" t="s">
        <v>205</v>
      </c>
      <c r="G33" s="24" t="s">
        <v>80</v>
      </c>
      <c r="H33" s="21" t="s">
        <v>172</v>
      </c>
      <c r="I33" s="21" t="s">
        <v>156</v>
      </c>
      <c r="J33" s="21"/>
      <c r="K33" s="19"/>
      <c r="L33" s="22" t="s">
        <v>46</v>
      </c>
      <c r="M33" s="22" t="s">
        <v>206</v>
      </c>
    </row>
    <row r="34" ht="20.1" customHeight="1" spans="1:11" x14ac:dyDescent="0.25">
      <c r="A34" s="9" t="s">
        <v>207</v>
      </c>
      <c r="B34" s="10"/>
      <c r="C34" s="10"/>
      <c r="D34" s="10"/>
      <c r="E34" s="10"/>
      <c r="F34" s="10"/>
      <c r="G34" s="10"/>
      <c r="H34" s="10"/>
      <c r="I34" s="10"/>
      <c r="J34" s="10"/>
      <c r="K34" s="10"/>
    </row>
    <row r="35" ht="42" customHeight="1" spans="1:13" x14ac:dyDescent="0.25">
      <c r="A35" s="17" t="s">
        <v>208</v>
      </c>
      <c r="B35" s="18" t="s">
        <v>209</v>
      </c>
      <c r="C35" s="19" t="s">
        <v>210</v>
      </c>
      <c r="D35" s="19" t="s">
        <v>211</v>
      </c>
      <c r="E35" s="19" t="s">
        <v>212</v>
      </c>
      <c r="F35" s="19" t="s">
        <v>213</v>
      </c>
      <c r="G35" s="24" t="s">
        <v>80</v>
      </c>
      <c r="H35" s="21" t="s">
        <v>172</v>
      </c>
      <c r="I35" s="21" t="s">
        <v>173</v>
      </c>
      <c r="J35" s="21"/>
      <c r="K35" s="19" t="s">
        <v>214</v>
      </c>
      <c r="L35" s="22" t="s">
        <v>63</v>
      </c>
      <c r="M35" s="22" t="s">
        <v>215</v>
      </c>
    </row>
    <row r="36" ht="42" customHeight="1" spans="1:13" x14ac:dyDescent="0.25">
      <c r="A36" s="11" t="s">
        <v>216</v>
      </c>
      <c r="B36" s="12" t="s">
        <v>217</v>
      </c>
      <c r="C36" s="13" t="s">
        <v>218</v>
      </c>
      <c r="D36" s="13" t="s">
        <v>219</v>
      </c>
      <c r="E36" s="13" t="s">
        <v>220</v>
      </c>
      <c r="F36" s="13" t="s">
        <v>221</v>
      </c>
      <c r="G36" s="25" t="s">
        <v>80</v>
      </c>
      <c r="H36" s="15" t="s">
        <v>172</v>
      </c>
      <c r="I36" s="15" t="s">
        <v>173</v>
      </c>
      <c r="J36" s="15"/>
      <c r="K36" s="13" t="s">
        <v>214</v>
      </c>
      <c r="L36" s="16" t="s">
        <v>63</v>
      </c>
      <c r="M36" s="16" t="s">
        <v>222</v>
      </c>
    </row>
    <row r="37" ht="20.1" customHeight="1" spans="1:11" x14ac:dyDescent="0.25">
      <c r="A37" s="9" t="s">
        <v>223</v>
      </c>
      <c r="B37" s="10"/>
      <c r="C37" s="10"/>
      <c r="D37" s="10"/>
      <c r="E37" s="10"/>
      <c r="F37" s="10"/>
      <c r="G37" s="10"/>
      <c r="H37" s="10"/>
      <c r="I37" s="10"/>
      <c r="J37" s="10"/>
      <c r="K37" s="10"/>
    </row>
    <row r="38" ht="42" customHeight="1" spans="1:13" x14ac:dyDescent="0.25">
      <c r="A38" s="11" t="s">
        <v>224</v>
      </c>
      <c r="B38" s="12" t="s">
        <v>225</v>
      </c>
      <c r="C38" s="13" t="s">
        <v>226</v>
      </c>
      <c r="D38" s="13" t="s">
        <v>227</v>
      </c>
      <c r="E38" s="13" t="s">
        <v>228</v>
      </c>
      <c r="F38" s="13" t="s">
        <v>229</v>
      </c>
      <c r="G38" s="23" t="s">
        <v>62</v>
      </c>
      <c r="H38" s="15" t="s">
        <v>104</v>
      </c>
      <c r="I38" s="15" t="s">
        <v>173</v>
      </c>
      <c r="J38" s="15"/>
      <c r="K38" s="13" t="s">
        <v>230</v>
      </c>
      <c r="L38" s="16" t="s">
        <v>231</v>
      </c>
      <c r="M38" s="16" t="s">
        <v>232</v>
      </c>
    </row>
    <row r="39" ht="42" customHeight="1" spans="1:13" x14ac:dyDescent="0.25">
      <c r="A39" s="17" t="s">
        <v>233</v>
      </c>
      <c r="B39" s="18" t="s">
        <v>234</v>
      </c>
      <c r="C39" s="19" t="s">
        <v>235</v>
      </c>
      <c r="D39" s="19" t="s">
        <v>236</v>
      </c>
      <c r="E39" s="19" t="s">
        <v>237</v>
      </c>
      <c r="F39" s="19" t="s">
        <v>238</v>
      </c>
      <c r="G39" s="26" t="s">
        <v>62</v>
      </c>
      <c r="H39" s="21" t="s">
        <v>72</v>
      </c>
      <c r="I39" s="21" t="s">
        <v>54</v>
      </c>
      <c r="J39" s="21"/>
      <c r="K39" s="19" t="s">
        <v>239</v>
      </c>
      <c r="L39" s="22" t="s">
        <v>105</v>
      </c>
      <c r="M39" s="22" t="s">
        <v>240</v>
      </c>
    </row>
    <row r="40" ht="42" customHeight="1" spans="1:13" x14ac:dyDescent="0.25">
      <c r="A40" s="11" t="s">
        <v>241</v>
      </c>
      <c r="B40" s="12" t="s">
        <v>242</v>
      </c>
      <c r="C40" s="13" t="s">
        <v>243</v>
      </c>
      <c r="D40" s="13" t="s">
        <v>244</v>
      </c>
      <c r="E40" s="13" t="s">
        <v>245</v>
      </c>
      <c r="F40" s="13" t="s">
        <v>246</v>
      </c>
      <c r="G40" s="23" t="s">
        <v>62</v>
      </c>
      <c r="H40" s="15" t="s">
        <v>72</v>
      </c>
      <c r="I40" s="15" t="s">
        <v>45</v>
      </c>
      <c r="J40" s="15"/>
      <c r="K40" s="13"/>
      <c r="L40" s="16" t="s">
        <v>46</v>
      </c>
      <c r="M40" s="16" t="s">
        <v>247</v>
      </c>
    </row>
    <row r="41" ht="42" customHeight="1" spans="1:13" x14ac:dyDescent="0.25">
      <c r="A41" s="17" t="s">
        <v>248</v>
      </c>
      <c r="B41" s="18" t="s">
        <v>249</v>
      </c>
      <c r="C41" s="19" t="s">
        <v>250</v>
      </c>
      <c r="D41" s="19" t="s">
        <v>251</v>
      </c>
      <c r="E41" s="19" t="s">
        <v>252</v>
      </c>
      <c r="F41" s="19" t="s">
        <v>253</v>
      </c>
      <c r="G41" s="24" t="s">
        <v>80</v>
      </c>
      <c r="H41" s="21" t="s">
        <v>72</v>
      </c>
      <c r="I41" s="21" t="s">
        <v>45</v>
      </c>
      <c r="J41" s="21"/>
      <c r="K41" s="19"/>
      <c r="L41" s="22" t="s">
        <v>46</v>
      </c>
      <c r="M41" s="22" t="s">
        <v>254</v>
      </c>
    </row>
    <row r="42" ht="20.1" customHeight="1" spans="1:11" x14ac:dyDescent="0.25">
      <c r="A42" s="9" t="s">
        <v>255</v>
      </c>
      <c r="B42" s="10"/>
      <c r="C42" s="10"/>
      <c r="D42" s="10"/>
      <c r="E42" s="10"/>
      <c r="F42" s="10"/>
      <c r="G42" s="10"/>
      <c r="H42" s="10"/>
      <c r="I42" s="10"/>
      <c r="J42" s="10"/>
      <c r="K42" s="10"/>
    </row>
    <row r="43" ht="42" customHeight="1" spans="1:13" x14ac:dyDescent="0.25">
      <c r="A43" s="17" t="s">
        <v>256</v>
      </c>
      <c r="B43" s="18" t="s">
        <v>257</v>
      </c>
      <c r="C43" s="19" t="s">
        <v>258</v>
      </c>
      <c r="D43" s="19" t="s">
        <v>259</v>
      </c>
      <c r="E43" s="19" t="s">
        <v>260</v>
      </c>
      <c r="F43" s="19" t="s">
        <v>261</v>
      </c>
      <c r="G43" s="26" t="s">
        <v>62</v>
      </c>
      <c r="H43" s="21" t="s">
        <v>262</v>
      </c>
      <c r="I43" s="21" t="s">
        <v>45</v>
      </c>
      <c r="J43" s="21"/>
      <c r="K43" s="19"/>
      <c r="L43" s="22" t="s">
        <v>46</v>
      </c>
      <c r="M43" s="22" t="s">
        <v>263</v>
      </c>
    </row>
    <row r="44" ht="42" customHeight="1" spans="1:13" x14ac:dyDescent="0.25">
      <c r="A44" s="11" t="s">
        <v>264</v>
      </c>
      <c r="B44" s="12" t="s">
        <v>265</v>
      </c>
      <c r="C44" s="13" t="s">
        <v>266</v>
      </c>
      <c r="D44" s="13" t="s">
        <v>267</v>
      </c>
      <c r="E44" s="13" t="s">
        <v>268</v>
      </c>
      <c r="F44" s="13" t="s">
        <v>269</v>
      </c>
      <c r="G44" s="23" t="s">
        <v>62</v>
      </c>
      <c r="H44" s="15" t="s">
        <v>262</v>
      </c>
      <c r="I44" s="15" t="s">
        <v>156</v>
      </c>
      <c r="J44" s="15"/>
      <c r="K44" s="13" t="s">
        <v>270</v>
      </c>
      <c r="L44" s="16" t="s">
        <v>231</v>
      </c>
      <c r="M44" s="16" t="s">
        <v>271</v>
      </c>
    </row>
    <row r="45" ht="42" customHeight="1" spans="1:13" x14ac:dyDescent="0.25">
      <c r="A45" s="17" t="s">
        <v>272</v>
      </c>
      <c r="B45" s="18" t="s">
        <v>273</v>
      </c>
      <c r="C45" s="19" t="s">
        <v>274</v>
      </c>
      <c r="D45" s="19" t="s">
        <v>267</v>
      </c>
      <c r="E45" s="19" t="s">
        <v>275</v>
      </c>
      <c r="F45" s="19" t="s">
        <v>276</v>
      </c>
      <c r="G45" s="26" t="s">
        <v>62</v>
      </c>
      <c r="H45" s="21" t="s">
        <v>262</v>
      </c>
      <c r="I45" s="21" t="s">
        <v>156</v>
      </c>
      <c r="J45" s="21"/>
      <c r="K45" s="19"/>
      <c r="L45" s="22" t="s">
        <v>231</v>
      </c>
      <c r="M45" s="22" t="s">
        <v>277</v>
      </c>
    </row>
    <row r="46" ht="42" customHeight="1" spans="1:13" x14ac:dyDescent="0.25">
      <c r="A46" s="11" t="s">
        <v>278</v>
      </c>
      <c r="B46" s="12" t="s">
        <v>279</v>
      </c>
      <c r="C46" s="13" t="s">
        <v>280</v>
      </c>
      <c r="D46" s="13" t="s">
        <v>281</v>
      </c>
      <c r="E46" s="13" t="s">
        <v>282</v>
      </c>
      <c r="F46" s="13" t="s">
        <v>283</v>
      </c>
      <c r="G46" s="23" t="s">
        <v>62</v>
      </c>
      <c r="H46" s="15" t="s">
        <v>262</v>
      </c>
      <c r="I46" s="15" t="s">
        <v>156</v>
      </c>
      <c r="J46" s="15"/>
      <c r="K46" s="13"/>
      <c r="L46" s="16" t="s">
        <v>231</v>
      </c>
      <c r="M46" s="16" t="s">
        <v>284</v>
      </c>
    </row>
    <row r="47" ht="42" customHeight="1" spans="1:13" x14ac:dyDescent="0.25">
      <c r="A47" s="17" t="s">
        <v>285</v>
      </c>
      <c r="B47" s="18" t="s">
        <v>286</v>
      </c>
      <c r="C47" s="19" t="s">
        <v>287</v>
      </c>
      <c r="D47" s="19" t="s">
        <v>288</v>
      </c>
      <c r="E47" s="19" t="s">
        <v>289</v>
      </c>
      <c r="F47" s="19" t="s">
        <v>290</v>
      </c>
      <c r="G47" s="26" t="s">
        <v>62</v>
      </c>
      <c r="H47" s="21" t="s">
        <v>291</v>
      </c>
      <c r="I47" s="21" t="s">
        <v>156</v>
      </c>
      <c r="J47" s="21"/>
      <c r="K47" s="19"/>
      <c r="L47" s="22" t="s">
        <v>46</v>
      </c>
      <c r="M47" s="22" t="s">
        <v>292</v>
      </c>
    </row>
    <row r="48" ht="20.1" customHeight="1" spans="1:11" x14ac:dyDescent="0.25">
      <c r="A48" s="9" t="s">
        <v>293</v>
      </c>
      <c r="B48" s="10"/>
      <c r="C48" s="10"/>
      <c r="D48" s="10"/>
      <c r="E48" s="10"/>
      <c r="F48" s="10"/>
      <c r="G48" s="10"/>
      <c r="H48" s="10"/>
      <c r="I48" s="10"/>
      <c r="J48" s="10"/>
      <c r="K48" s="10"/>
    </row>
    <row r="49" ht="42" customHeight="1" spans="1:13" x14ac:dyDescent="0.25">
      <c r="A49" s="17" t="s">
        <v>294</v>
      </c>
      <c r="B49" s="18" t="s">
        <v>295</v>
      </c>
      <c r="C49" s="19" t="s">
        <v>296</v>
      </c>
      <c r="D49" s="19" t="s">
        <v>297</v>
      </c>
      <c r="E49" s="19" t="s">
        <v>298</v>
      </c>
      <c r="F49" s="19" t="s">
        <v>299</v>
      </c>
      <c r="G49" s="26" t="s">
        <v>62</v>
      </c>
      <c r="H49" s="21" t="s">
        <v>300</v>
      </c>
      <c r="I49" s="21" t="s">
        <v>54</v>
      </c>
      <c r="J49" s="21"/>
      <c r="K49" s="19"/>
      <c r="L49" s="22" t="s">
        <v>46</v>
      </c>
      <c r="M49" s="22" t="s">
        <v>301</v>
      </c>
    </row>
    <row r="50" ht="20.1" customHeight="1" spans="1:11" x14ac:dyDescent="0.25">
      <c r="A50" s="9" t="s">
        <v>302</v>
      </c>
      <c r="B50" s="10"/>
      <c r="C50" s="10"/>
      <c r="D50" s="10"/>
      <c r="E50" s="10"/>
      <c r="F50" s="10"/>
      <c r="G50" s="10"/>
      <c r="H50" s="10"/>
      <c r="I50" s="10"/>
      <c r="J50" s="10"/>
      <c r="K50" s="10"/>
    </row>
    <row r="51" ht="58.5" customHeight="1" spans="1:13" x14ac:dyDescent="0.25">
      <c r="A51" s="17" t="s">
        <v>303</v>
      </c>
      <c r="B51" s="18" t="s">
        <v>304</v>
      </c>
      <c r="C51" s="19" t="s">
        <v>305</v>
      </c>
      <c r="D51" s="19" t="s">
        <v>306</v>
      </c>
      <c r="E51" s="19" t="s">
        <v>307</v>
      </c>
      <c r="F51" s="19" t="s">
        <v>308</v>
      </c>
      <c r="G51" s="26" t="s">
        <v>62</v>
      </c>
      <c r="H51" s="21" t="s">
        <v>309</v>
      </c>
      <c r="I51" s="21" t="s">
        <v>54</v>
      </c>
      <c r="J51" s="21"/>
      <c r="K51" s="19"/>
      <c r="L51" s="22" t="s">
        <v>46</v>
      </c>
      <c r="M51" s="22" t="s">
        <v>310</v>
      </c>
    </row>
    <row r="52" ht="20.1" customHeight="1" spans="1:11" x14ac:dyDescent="0.25">
      <c r="A52" s="9" t="s">
        <v>311</v>
      </c>
      <c r="B52" s="10"/>
      <c r="C52" s="10"/>
      <c r="D52" s="10"/>
      <c r="E52" s="10"/>
      <c r="F52" s="10"/>
      <c r="G52" s="10"/>
      <c r="H52" s="10"/>
      <c r="I52" s="10"/>
      <c r="J52" s="10"/>
      <c r="K52" s="10"/>
    </row>
    <row r="53" ht="42" customHeight="1" spans="1:13" x14ac:dyDescent="0.25">
      <c r="A53" s="17" t="s">
        <v>312</v>
      </c>
      <c r="B53" s="18" t="s">
        <v>313</v>
      </c>
      <c r="C53" s="19" t="s">
        <v>314</v>
      </c>
      <c r="D53" s="19" t="s">
        <v>315</v>
      </c>
      <c r="E53" s="19" t="s">
        <v>316</v>
      </c>
      <c r="F53" s="19" t="s">
        <v>317</v>
      </c>
      <c r="G53" s="26" t="s">
        <v>62</v>
      </c>
      <c r="H53" s="21" t="s">
        <v>318</v>
      </c>
      <c r="I53" s="21" t="s">
        <v>45</v>
      </c>
      <c r="J53" s="21"/>
      <c r="K53" s="19"/>
      <c r="L53" s="22" t="s">
        <v>46</v>
      </c>
      <c r="M53" s="22" t="s">
        <v>319</v>
      </c>
    </row>
    <row r="54" ht="42" customHeight="1" spans="1:13" x14ac:dyDescent="0.25">
      <c r="A54" s="11" t="s">
        <v>320</v>
      </c>
      <c r="B54" s="12" t="s">
        <v>321</v>
      </c>
      <c r="C54" s="13" t="s">
        <v>322</v>
      </c>
      <c r="D54" s="13" t="s">
        <v>323</v>
      </c>
      <c r="E54" s="13" t="s">
        <v>324</v>
      </c>
      <c r="F54" s="13" t="s">
        <v>325</v>
      </c>
      <c r="G54" s="23" t="s">
        <v>62</v>
      </c>
      <c r="H54" s="15" t="s">
        <v>326</v>
      </c>
      <c r="I54" s="15" t="s">
        <v>54</v>
      </c>
      <c r="J54" s="15"/>
      <c r="K54" s="13"/>
      <c r="L54" s="16" t="s">
        <v>46</v>
      </c>
      <c r="M54" s="16" t="s">
        <v>327</v>
      </c>
    </row>
    <row r="55" ht="42" customHeight="1" spans="1:13" x14ac:dyDescent="0.25">
      <c r="A55" s="17" t="s">
        <v>328</v>
      </c>
      <c r="B55" s="18" t="s">
        <v>329</v>
      </c>
      <c r="C55" s="19" t="s">
        <v>330</v>
      </c>
      <c r="D55" s="19" t="s">
        <v>331</v>
      </c>
      <c r="E55" s="19" t="s">
        <v>332</v>
      </c>
      <c r="F55" s="19" t="s">
        <v>333</v>
      </c>
      <c r="G55" s="26" t="s">
        <v>62</v>
      </c>
      <c r="H55" s="21" t="s">
        <v>300</v>
      </c>
      <c r="I55" s="21" t="s">
        <v>54</v>
      </c>
      <c r="J55" s="21"/>
      <c r="K55" s="19"/>
      <c r="L55" s="22" t="s">
        <v>148</v>
      </c>
      <c r="M55" s="22" t="s">
        <v>334</v>
      </c>
    </row>
    <row r="56" ht="42" customHeight="1" spans="1:13" x14ac:dyDescent="0.25">
      <c r="A56" s="11" t="s">
        <v>335</v>
      </c>
      <c r="B56" s="12" t="s">
        <v>336</v>
      </c>
      <c r="C56" s="13" t="s">
        <v>337</v>
      </c>
      <c r="D56" s="13" t="s">
        <v>338</v>
      </c>
      <c r="E56" s="13" t="s">
        <v>339</v>
      </c>
      <c r="F56" s="13" t="s">
        <v>340</v>
      </c>
      <c r="G56" s="25" t="s">
        <v>80</v>
      </c>
      <c r="H56" s="15" t="s">
        <v>300</v>
      </c>
      <c r="I56" s="15" t="s">
        <v>54</v>
      </c>
      <c r="J56" s="15"/>
      <c r="K56" s="13"/>
      <c r="L56" s="16" t="s">
        <v>148</v>
      </c>
      <c r="M56" s="16" t="s">
        <v>341</v>
      </c>
    </row>
    <row r="57" ht="20.1" customHeight="1" spans="1:11" x14ac:dyDescent="0.25">
      <c r="A57" s="9" t="s">
        <v>342</v>
      </c>
      <c r="B57" s="10"/>
      <c r="C57" s="10"/>
      <c r="D57" s="10"/>
      <c r="E57" s="10"/>
      <c r="F57" s="10"/>
      <c r="G57" s="10"/>
      <c r="H57" s="10"/>
      <c r="I57" s="10"/>
      <c r="J57" s="10"/>
      <c r="K57" s="10"/>
    </row>
    <row r="58" ht="42" customHeight="1" spans="1:13" x14ac:dyDescent="0.25">
      <c r="A58" s="11" t="s">
        <v>343</v>
      </c>
      <c r="B58" s="12" t="s">
        <v>344</v>
      </c>
      <c r="C58" s="13" t="s">
        <v>345</v>
      </c>
      <c r="D58" s="13" t="s">
        <v>346</v>
      </c>
      <c r="E58" s="13" t="s">
        <v>347</v>
      </c>
      <c r="F58" s="13" t="s">
        <v>348</v>
      </c>
      <c r="G58" s="23" t="s">
        <v>62</v>
      </c>
      <c r="H58" s="15" t="s">
        <v>182</v>
      </c>
      <c r="I58" s="15" t="s">
        <v>45</v>
      </c>
      <c r="J58" s="15"/>
      <c r="K58" s="13"/>
      <c r="L58" s="16" t="s">
        <v>46</v>
      </c>
      <c r="M58" s="16" t="s">
        <v>349</v>
      </c>
    </row>
    <row r="59" ht="42" customHeight="1" spans="1:13" x14ac:dyDescent="0.25">
      <c r="A59" s="17" t="s">
        <v>350</v>
      </c>
      <c r="B59" s="18" t="s">
        <v>351</v>
      </c>
      <c r="C59" s="19" t="s">
        <v>352</v>
      </c>
      <c r="D59" s="19" t="s">
        <v>353</v>
      </c>
      <c r="E59" s="19" t="s">
        <v>354</v>
      </c>
      <c r="F59" s="19" t="s">
        <v>355</v>
      </c>
      <c r="G59" s="24" t="s">
        <v>80</v>
      </c>
      <c r="H59" s="21" t="s">
        <v>182</v>
      </c>
      <c r="I59" s="21" t="s">
        <v>45</v>
      </c>
      <c r="J59" s="21"/>
      <c r="K59" s="19"/>
      <c r="L59" s="22" t="s">
        <v>46</v>
      </c>
      <c r="M59" s="22" t="s">
        <v>356</v>
      </c>
    </row>
    <row r="60" ht="42" customHeight="1" spans="1:13" x14ac:dyDescent="0.25">
      <c r="A60" s="11" t="s">
        <v>357</v>
      </c>
      <c r="B60" s="12" t="s">
        <v>358</v>
      </c>
      <c r="C60" s="13" t="s">
        <v>359</v>
      </c>
      <c r="D60" s="13" t="s">
        <v>360</v>
      </c>
      <c r="E60" s="13" t="s">
        <v>361</v>
      </c>
      <c r="F60" s="13" t="s">
        <v>362</v>
      </c>
      <c r="G60" s="14" t="s">
        <v>43</v>
      </c>
      <c r="H60" s="15" t="s">
        <v>182</v>
      </c>
      <c r="I60" s="15" t="s">
        <v>54</v>
      </c>
      <c r="J60" s="15"/>
      <c r="K60" s="13"/>
      <c r="L60" s="16" t="s">
        <v>46</v>
      </c>
      <c r="M60" s="16" t="s">
        <v>363</v>
      </c>
    </row>
    <row r="61" ht="20.1" customHeight="1" spans="1:11" x14ac:dyDescent="0.25">
      <c r="A61" s="9" t="s">
        <v>364</v>
      </c>
      <c r="B61" s="10"/>
      <c r="C61" s="10"/>
      <c r="D61" s="10"/>
      <c r="E61" s="10"/>
      <c r="F61" s="10"/>
      <c r="G61" s="10"/>
      <c r="H61" s="10"/>
      <c r="I61" s="10"/>
      <c r="J61" s="10"/>
      <c r="K61" s="10"/>
    </row>
    <row r="62" ht="42" customHeight="1" spans="1:13" x14ac:dyDescent="0.25">
      <c r="A62" s="11" t="s">
        <v>365</v>
      </c>
      <c r="B62" s="12" t="s">
        <v>366</v>
      </c>
      <c r="C62" s="13" t="s">
        <v>367</v>
      </c>
      <c r="D62" s="13" t="s">
        <v>368</v>
      </c>
      <c r="E62" s="13" t="s">
        <v>369</v>
      </c>
      <c r="F62" s="13" t="s">
        <v>370</v>
      </c>
      <c r="G62" s="25" t="s">
        <v>80</v>
      </c>
      <c r="H62" s="15" t="s">
        <v>300</v>
      </c>
      <c r="I62" s="15" t="s">
        <v>45</v>
      </c>
      <c r="J62" s="15"/>
      <c r="K62" s="13" t="s">
        <v>371</v>
      </c>
      <c r="L62" s="16" t="s">
        <v>46</v>
      </c>
      <c r="M62" s="16" t="s">
        <v>372</v>
      </c>
    </row>
    <row r="63" ht="42" customHeight="1" spans="1:13" x14ac:dyDescent="0.25">
      <c r="A63" s="17" t="s">
        <v>373</v>
      </c>
      <c r="B63" s="18" t="s">
        <v>374</v>
      </c>
      <c r="C63" s="19" t="s">
        <v>375</v>
      </c>
      <c r="D63" s="19" t="s">
        <v>376</v>
      </c>
      <c r="E63" s="19" t="s">
        <v>377</v>
      </c>
      <c r="F63" s="19" t="s">
        <v>378</v>
      </c>
      <c r="G63" s="24" t="s">
        <v>80</v>
      </c>
      <c r="H63" s="21" t="s">
        <v>300</v>
      </c>
      <c r="I63" s="21" t="s">
        <v>45</v>
      </c>
      <c r="J63" s="21"/>
      <c r="K63" s="19"/>
      <c r="L63" s="22" t="s">
        <v>46</v>
      </c>
      <c r="M63" s="22" t="s">
        <v>379</v>
      </c>
    </row>
    <row r="64" ht="42" customHeight="1" spans="1:13" x14ac:dyDescent="0.25">
      <c r="A64" s="11" t="s">
        <v>380</v>
      </c>
      <c r="B64" s="12" t="s">
        <v>381</v>
      </c>
      <c r="C64" s="13" t="s">
        <v>382</v>
      </c>
      <c r="D64" s="13" t="s">
        <v>383</v>
      </c>
      <c r="E64" s="13" t="s">
        <v>384</v>
      </c>
      <c r="F64" s="13" t="s">
        <v>385</v>
      </c>
      <c r="G64" s="25" t="s">
        <v>80</v>
      </c>
      <c r="H64" s="15" t="s">
        <v>300</v>
      </c>
      <c r="I64" s="15" t="s">
        <v>45</v>
      </c>
      <c r="J64" s="15"/>
      <c r="K64" s="13"/>
      <c r="L64" s="16" t="s">
        <v>46</v>
      </c>
      <c r="M64" s="16" t="s">
        <v>386</v>
      </c>
    </row>
    <row r="65" ht="42" customHeight="1" spans="1:13" x14ac:dyDescent="0.25">
      <c r="A65" s="17" t="s">
        <v>387</v>
      </c>
      <c r="B65" s="18" t="s">
        <v>388</v>
      </c>
      <c r="C65" s="19" t="s">
        <v>389</v>
      </c>
      <c r="D65" s="19" t="s">
        <v>390</v>
      </c>
      <c r="E65" s="19" t="s">
        <v>391</v>
      </c>
      <c r="F65" s="19" t="s">
        <v>392</v>
      </c>
      <c r="G65" s="24" t="s">
        <v>80</v>
      </c>
      <c r="H65" s="21" t="s">
        <v>300</v>
      </c>
      <c r="I65" s="21" t="s">
        <v>45</v>
      </c>
      <c r="J65" s="21"/>
      <c r="K65" s="19"/>
      <c r="L65" s="22" t="s">
        <v>46</v>
      </c>
      <c r="M65" s="22" t="s">
        <v>393</v>
      </c>
    </row>
    <row r="66" ht="42" customHeight="1" spans="1:13" x14ac:dyDescent="0.25">
      <c r="A66" s="11" t="s">
        <v>394</v>
      </c>
      <c r="B66" s="12" t="s">
        <v>395</v>
      </c>
      <c r="C66" s="13" t="s">
        <v>396</v>
      </c>
      <c r="D66" s="13" t="s">
        <v>397</v>
      </c>
      <c r="E66" s="13" t="s">
        <v>398</v>
      </c>
      <c r="F66" s="13" t="s">
        <v>399</v>
      </c>
      <c r="G66" s="23" t="s">
        <v>62</v>
      </c>
      <c r="H66" s="15" t="s">
        <v>300</v>
      </c>
      <c r="I66" s="15" t="s">
        <v>54</v>
      </c>
      <c r="J66" s="15"/>
      <c r="K66" s="13"/>
      <c r="L66" s="16" t="s">
        <v>46</v>
      </c>
      <c r="M66" s="16" t="s">
        <v>400</v>
      </c>
    </row>
    <row r="67" ht="20.1" customHeight="1" spans="1:11" x14ac:dyDescent="0.25">
      <c r="A67" s="9" t="s">
        <v>401</v>
      </c>
      <c r="B67" s="10"/>
      <c r="C67" s="10"/>
      <c r="D67" s="10"/>
      <c r="E67" s="10"/>
      <c r="F67" s="10"/>
      <c r="G67" s="10"/>
      <c r="H67" s="10"/>
      <c r="I67" s="10"/>
      <c r="J67" s="10"/>
      <c r="K67" s="10"/>
    </row>
    <row r="68" ht="51.75" customHeight="1" spans="1:13" x14ac:dyDescent="0.25">
      <c r="A68" s="11" t="s">
        <v>402</v>
      </c>
      <c r="B68" s="12" t="s">
        <v>403</v>
      </c>
      <c r="C68" s="13" t="s">
        <v>404</v>
      </c>
      <c r="D68" s="13" t="s">
        <v>405</v>
      </c>
      <c r="E68" s="13" t="s">
        <v>406</v>
      </c>
      <c r="F68" s="13" t="s">
        <v>407</v>
      </c>
      <c r="G68" s="14" t="s">
        <v>43</v>
      </c>
      <c r="H68" s="15" t="s">
        <v>408</v>
      </c>
      <c r="I68" s="15" t="s">
        <v>54</v>
      </c>
      <c r="J68" s="15"/>
      <c r="K68" s="13"/>
      <c r="L68" s="16" t="s">
        <v>148</v>
      </c>
      <c r="M68" s="16" t="s">
        <v>409</v>
      </c>
    </row>
    <row r="69" ht="20.1" customHeight="1" spans="1:11" x14ac:dyDescent="0.25">
      <c r="A69" s="9" t="s">
        <v>410</v>
      </c>
      <c r="B69" s="10"/>
      <c r="C69" s="10"/>
      <c r="D69" s="10"/>
      <c r="E69" s="10"/>
      <c r="F69" s="10"/>
      <c r="G69" s="10"/>
      <c r="H69" s="10"/>
      <c r="I69" s="10"/>
      <c r="J69" s="10"/>
      <c r="K69" s="10"/>
    </row>
    <row r="70" ht="55.5" customHeight="1" spans="1:13" x14ac:dyDescent="0.25">
      <c r="A70" s="11" t="s">
        <v>411</v>
      </c>
      <c r="B70" s="12" t="s">
        <v>412</v>
      </c>
      <c r="C70" s="13" t="s">
        <v>413</v>
      </c>
      <c r="D70" s="13" t="s">
        <v>414</v>
      </c>
      <c r="E70" s="13" t="s">
        <v>415</v>
      </c>
      <c r="F70" s="13" t="s">
        <v>416</v>
      </c>
      <c r="G70" s="25" t="s">
        <v>80</v>
      </c>
      <c r="H70" s="15" t="s">
        <v>172</v>
      </c>
      <c r="I70" s="15" t="s">
        <v>54</v>
      </c>
      <c r="J70" s="15"/>
      <c r="K70" s="13"/>
      <c r="L70" s="16" t="s">
        <v>46</v>
      </c>
      <c r="M70" s="16" t="s">
        <v>417</v>
      </c>
    </row>
    <row r="71" ht="20.1" customHeight="1" spans="1:11" x14ac:dyDescent="0.25">
      <c r="A71" s="9" t="s">
        <v>418</v>
      </c>
      <c r="B71" s="10"/>
      <c r="C71" s="10"/>
      <c r="D71" s="10"/>
      <c r="E71" s="10"/>
      <c r="F71" s="10"/>
      <c r="G71" s="10"/>
      <c r="H71" s="10"/>
      <c r="I71" s="10"/>
      <c r="J71" s="10"/>
      <c r="K71" s="10"/>
    </row>
    <row r="72" ht="42" customHeight="1" spans="1:13" x14ac:dyDescent="0.25">
      <c r="A72" s="11" t="s">
        <v>419</v>
      </c>
      <c r="B72" s="12" t="s">
        <v>420</v>
      </c>
      <c r="C72" s="13" t="s">
        <v>421</v>
      </c>
      <c r="D72" s="13" t="s">
        <v>422</v>
      </c>
      <c r="E72" s="13" t="s">
        <v>423</v>
      </c>
      <c r="F72" s="13" t="s">
        <v>424</v>
      </c>
      <c r="G72" s="23" t="s">
        <v>62</v>
      </c>
      <c r="H72" s="15" t="s">
        <v>172</v>
      </c>
      <c r="I72" s="15" t="s">
        <v>45</v>
      </c>
      <c r="J72" s="15"/>
      <c r="K72" s="13"/>
      <c r="L72" s="16" t="s">
        <v>46</v>
      </c>
      <c r="M72" s="16" t="s">
        <v>425</v>
      </c>
    </row>
    <row r="73" ht="20.1" customHeight="1" spans="1:11" x14ac:dyDescent="0.25">
      <c r="A73" s="9" t="s">
        <v>426</v>
      </c>
      <c r="B73" s="10"/>
      <c r="C73" s="10"/>
      <c r="D73" s="10"/>
      <c r="E73" s="10"/>
      <c r="F73" s="10"/>
      <c r="G73" s="10"/>
      <c r="H73" s="10"/>
      <c r="I73" s="10"/>
      <c r="J73" s="10"/>
      <c r="K73" s="10"/>
    </row>
    <row r="74" ht="42" customHeight="1" spans="1:13" x14ac:dyDescent="0.25">
      <c r="A74" s="11" t="s">
        <v>427</v>
      </c>
      <c r="B74" s="12" t="s">
        <v>428</v>
      </c>
      <c r="C74" s="13" t="s">
        <v>429</v>
      </c>
      <c r="D74" s="13" t="s">
        <v>430</v>
      </c>
      <c r="E74" s="13" t="s">
        <v>431</v>
      </c>
      <c r="F74" s="13" t="s">
        <v>432</v>
      </c>
      <c r="G74" s="23" t="s">
        <v>62</v>
      </c>
      <c r="H74" s="15" t="s">
        <v>104</v>
      </c>
      <c r="I74" s="15" t="s">
        <v>45</v>
      </c>
      <c r="J74" s="15"/>
      <c r="K74" s="13"/>
      <c r="L74" s="16" t="s">
        <v>63</v>
      </c>
      <c r="M74" s="16" t="s">
        <v>433</v>
      </c>
    </row>
    <row r="75" ht="42" customHeight="1" spans="1:13" x14ac:dyDescent="0.25">
      <c r="A75" s="17" t="s">
        <v>434</v>
      </c>
      <c r="B75" s="18" t="s">
        <v>435</v>
      </c>
      <c r="C75" s="19" t="s">
        <v>436</v>
      </c>
      <c r="D75" s="19" t="s">
        <v>437</v>
      </c>
      <c r="E75" s="19" t="s">
        <v>438</v>
      </c>
      <c r="F75" s="19" t="s">
        <v>439</v>
      </c>
      <c r="G75" s="26" t="s">
        <v>62</v>
      </c>
      <c r="H75" s="21" t="s">
        <v>104</v>
      </c>
      <c r="I75" s="21" t="s">
        <v>45</v>
      </c>
      <c r="J75" s="21"/>
      <c r="K75" s="19"/>
      <c r="L75" s="22" t="s">
        <v>148</v>
      </c>
      <c r="M75" s="22" t="s">
        <v>440</v>
      </c>
    </row>
    <row r="76" ht="20.1" customHeight="1" spans="1:11" x14ac:dyDescent="0.25">
      <c r="A76" s="9" t="s">
        <v>441</v>
      </c>
      <c r="B76" s="10"/>
      <c r="C76" s="10"/>
      <c r="D76" s="10"/>
      <c r="E76" s="10"/>
      <c r="F76" s="10"/>
      <c r="G76" s="10"/>
      <c r="H76" s="10"/>
      <c r="I76" s="10"/>
      <c r="J76" s="10"/>
      <c r="K76" s="10"/>
    </row>
    <row r="77" ht="42" customHeight="1" spans="1:13" x14ac:dyDescent="0.25">
      <c r="A77" s="17" t="s">
        <v>442</v>
      </c>
      <c r="B77" s="18" t="s">
        <v>443</v>
      </c>
      <c r="C77" s="19" t="s">
        <v>444</v>
      </c>
      <c r="D77" s="19" t="s">
        <v>445</v>
      </c>
      <c r="E77" s="19" t="s">
        <v>446</v>
      </c>
      <c r="F77" s="19" t="s">
        <v>447</v>
      </c>
      <c r="G77" s="26" t="s">
        <v>62</v>
      </c>
      <c r="H77" s="21" t="s">
        <v>104</v>
      </c>
      <c r="I77" s="21" t="s">
        <v>54</v>
      </c>
      <c r="J77" s="21"/>
      <c r="K77" s="19"/>
      <c r="L77" s="22" t="s">
        <v>63</v>
      </c>
      <c r="M77" s="22" t="s">
        <v>448</v>
      </c>
    </row>
    <row r="78" ht="42" customHeight="1" spans="1:13" x14ac:dyDescent="0.25">
      <c r="A78" s="11" t="s">
        <v>449</v>
      </c>
      <c r="B78" s="12" t="s">
        <v>450</v>
      </c>
      <c r="C78" s="13" t="s">
        <v>451</v>
      </c>
      <c r="D78" s="13" t="s">
        <v>452</v>
      </c>
      <c r="E78" s="13" t="s">
        <v>453</v>
      </c>
      <c r="F78" s="13" t="s">
        <v>454</v>
      </c>
      <c r="G78" s="23" t="s">
        <v>62</v>
      </c>
      <c r="H78" s="15" t="s">
        <v>455</v>
      </c>
      <c r="I78" s="15" t="s">
        <v>54</v>
      </c>
      <c r="J78" s="15"/>
      <c r="K78" s="13"/>
      <c r="L78" s="16" t="s">
        <v>148</v>
      </c>
      <c r="M78" s="16" t="s">
        <v>456</v>
      </c>
    </row>
    <row r="79" ht="42" customHeight="1" spans="1:13" x14ac:dyDescent="0.25">
      <c r="A79" s="17" t="s">
        <v>457</v>
      </c>
      <c r="B79" s="18" t="s">
        <v>458</v>
      </c>
      <c r="C79" s="19" t="s">
        <v>459</v>
      </c>
      <c r="D79" s="19" t="s">
        <v>460</v>
      </c>
      <c r="E79" s="19" t="s">
        <v>461</v>
      </c>
      <c r="F79" s="19" t="s">
        <v>462</v>
      </c>
      <c r="G79" s="26" t="s">
        <v>62</v>
      </c>
      <c r="H79" s="21" t="s">
        <v>104</v>
      </c>
      <c r="I79" s="21" t="s">
        <v>54</v>
      </c>
      <c r="J79" s="21"/>
      <c r="K79" s="19"/>
      <c r="L79" s="22" t="s">
        <v>63</v>
      </c>
      <c r="M79" s="22" t="s">
        <v>448</v>
      </c>
    </row>
    <row r="80" ht="42" customHeight="1" spans="1:13" x14ac:dyDescent="0.25">
      <c r="A80" s="11" t="s">
        <v>463</v>
      </c>
      <c r="B80" s="12" t="s">
        <v>464</v>
      </c>
      <c r="C80" s="13" t="s">
        <v>465</v>
      </c>
      <c r="D80" s="13" t="s">
        <v>466</v>
      </c>
      <c r="E80" s="13" t="s">
        <v>467</v>
      </c>
      <c r="F80" s="13" t="s">
        <v>468</v>
      </c>
      <c r="G80" s="23" t="s">
        <v>62</v>
      </c>
      <c r="H80" s="15" t="s">
        <v>469</v>
      </c>
      <c r="I80" s="15" t="s">
        <v>54</v>
      </c>
      <c r="J80" s="15"/>
      <c r="K80" s="13"/>
      <c r="L80" s="16" t="s">
        <v>63</v>
      </c>
      <c r="M80" s="16" t="s">
        <v>448</v>
      </c>
    </row>
    <row r="81" ht="20.1" customHeight="1" spans="1:11" x14ac:dyDescent="0.25">
      <c r="A81" s="9" t="s">
        <v>470</v>
      </c>
      <c r="B81" s="10"/>
      <c r="C81" s="10"/>
      <c r="D81" s="10"/>
      <c r="E81" s="10"/>
      <c r="F81" s="10"/>
      <c r="G81" s="10"/>
      <c r="H81" s="10"/>
      <c r="I81" s="10"/>
      <c r="J81" s="10"/>
      <c r="K81" s="10"/>
    </row>
    <row r="82" ht="42" customHeight="1" spans="1:13" x14ac:dyDescent="0.25">
      <c r="A82" s="11" t="s">
        <v>471</v>
      </c>
      <c r="B82" s="12" t="s">
        <v>472</v>
      </c>
      <c r="C82" s="13" t="s">
        <v>473</v>
      </c>
      <c r="D82" s="13" t="s">
        <v>474</v>
      </c>
      <c r="E82" s="13" t="s">
        <v>475</v>
      </c>
      <c r="F82" s="13" t="s">
        <v>476</v>
      </c>
      <c r="G82" s="23" t="s">
        <v>62</v>
      </c>
      <c r="H82" s="15" t="s">
        <v>477</v>
      </c>
      <c r="I82" s="15" t="s">
        <v>54</v>
      </c>
      <c r="J82" s="15"/>
      <c r="K82" s="13"/>
      <c r="L82" s="16" t="s">
        <v>148</v>
      </c>
      <c r="M82" s="16" t="s">
        <v>478</v>
      </c>
    </row>
    <row r="83" ht="20.1" customHeight="1" spans="1:11" x14ac:dyDescent="0.25">
      <c r="A83" s="9" t="s">
        <v>479</v>
      </c>
      <c r="B83" s="10"/>
      <c r="C83" s="10"/>
      <c r="D83" s="10"/>
      <c r="E83" s="10"/>
      <c r="F83" s="10"/>
      <c r="G83" s="10"/>
      <c r="H83" s="10"/>
      <c r="I83" s="10"/>
      <c r="J83" s="10"/>
      <c r="K83" s="10"/>
    </row>
    <row r="84" ht="42" customHeight="1" spans="1:13" x14ac:dyDescent="0.25">
      <c r="A84" s="11" t="s">
        <v>480</v>
      </c>
      <c r="B84" s="12" t="s">
        <v>481</v>
      </c>
      <c r="C84" s="13" t="s">
        <v>482</v>
      </c>
      <c r="D84" s="13" t="s">
        <v>483</v>
      </c>
      <c r="E84" s="13" t="s">
        <v>484</v>
      </c>
      <c r="F84" s="13" t="s">
        <v>485</v>
      </c>
      <c r="G84" s="14" t="s">
        <v>43</v>
      </c>
      <c r="H84" s="15" t="s">
        <v>104</v>
      </c>
      <c r="I84" s="15" t="s">
        <v>54</v>
      </c>
      <c r="J84" s="15"/>
      <c r="K84" s="13"/>
      <c r="L84" s="16" t="s">
        <v>46</v>
      </c>
      <c r="M84" s="16" t="s">
        <v>486</v>
      </c>
    </row>
    <row r="85" ht="42" customHeight="1" spans="1:13" x14ac:dyDescent="0.25">
      <c r="A85" s="17" t="s">
        <v>487</v>
      </c>
      <c r="B85" s="18" t="s">
        <v>488</v>
      </c>
      <c r="C85" s="19" t="s">
        <v>489</v>
      </c>
      <c r="D85" s="19" t="s">
        <v>490</v>
      </c>
      <c r="E85" s="19" t="s">
        <v>491</v>
      </c>
      <c r="F85" s="19" t="s">
        <v>485</v>
      </c>
      <c r="G85" s="26" t="s">
        <v>62</v>
      </c>
      <c r="H85" s="21" t="s">
        <v>172</v>
      </c>
      <c r="I85" s="21" t="s">
        <v>54</v>
      </c>
      <c r="J85" s="21"/>
      <c r="K85" s="19"/>
      <c r="L85" s="22" t="s">
        <v>46</v>
      </c>
      <c r="M85" s="22" t="s">
        <v>492</v>
      </c>
    </row>
    <row r="86" ht="42" customHeight="1" spans="1:13" x14ac:dyDescent="0.25">
      <c r="A86" s="11" t="s">
        <v>493</v>
      </c>
      <c r="B86" s="12" t="s">
        <v>494</v>
      </c>
      <c r="C86" s="13" t="s">
        <v>495</v>
      </c>
      <c r="D86" s="13" t="s">
        <v>496</v>
      </c>
      <c r="E86" s="13" t="s">
        <v>497</v>
      </c>
      <c r="F86" s="13" t="s">
        <v>498</v>
      </c>
      <c r="G86" s="14" t="s">
        <v>43</v>
      </c>
      <c r="H86" s="15" t="s">
        <v>499</v>
      </c>
      <c r="I86" s="15" t="s">
        <v>54</v>
      </c>
      <c r="J86" s="15"/>
      <c r="K86" s="13"/>
      <c r="L86" s="16" t="s">
        <v>46</v>
      </c>
      <c r="M86" s="16" t="s">
        <v>500</v>
      </c>
    </row>
    <row r="87" ht="20.1" customHeight="1" spans="1:11" x14ac:dyDescent="0.25">
      <c r="A87" s="9" t="s">
        <v>501</v>
      </c>
      <c r="B87" s="10"/>
      <c r="C87" s="10"/>
      <c r="D87" s="10"/>
      <c r="E87" s="10"/>
      <c r="F87" s="10"/>
      <c r="G87" s="10"/>
      <c r="H87" s="10"/>
      <c r="I87" s="10"/>
      <c r="J87" s="10"/>
      <c r="K87" s="10"/>
    </row>
    <row r="88" ht="54.75" customHeight="1" spans="1:13" x14ac:dyDescent="0.25">
      <c r="A88" s="11" t="s">
        <v>502</v>
      </c>
      <c r="B88" s="12" t="s">
        <v>503</v>
      </c>
      <c r="C88" s="13" t="s">
        <v>504</v>
      </c>
      <c r="D88" s="13" t="s">
        <v>505</v>
      </c>
      <c r="E88" s="13" t="s">
        <v>506</v>
      </c>
      <c r="F88" s="13" t="s">
        <v>507</v>
      </c>
      <c r="G88" s="23" t="s">
        <v>62</v>
      </c>
      <c r="H88" s="15" t="s">
        <v>131</v>
      </c>
      <c r="I88" s="15" t="s">
        <v>54</v>
      </c>
      <c r="J88" s="15"/>
      <c r="K88" s="13"/>
      <c r="L88" s="16" t="s">
        <v>148</v>
      </c>
      <c r="M88" s="16" t="s">
        <v>508</v>
      </c>
    </row>
    <row r="89" ht="20.1" customHeight="1" spans="1:11" x14ac:dyDescent="0.25">
      <c r="A89" s="9" t="s">
        <v>509</v>
      </c>
      <c r="B89" s="10"/>
      <c r="C89" s="10"/>
      <c r="D89" s="10"/>
      <c r="E89" s="10"/>
      <c r="F89" s="10"/>
      <c r="G89" s="10"/>
      <c r="H89" s="10"/>
      <c r="I89" s="10"/>
      <c r="J89" s="10"/>
      <c r="K89" s="10"/>
    </row>
    <row r="90" ht="42" customHeight="1" spans="1:13" x14ac:dyDescent="0.25">
      <c r="A90" s="11" t="s">
        <v>510</v>
      </c>
      <c r="B90" s="12" t="s">
        <v>511</v>
      </c>
      <c r="C90" s="13" t="s">
        <v>512</v>
      </c>
      <c r="D90" s="13" t="s">
        <v>513</v>
      </c>
      <c r="E90" s="13" t="s">
        <v>514</v>
      </c>
      <c r="F90" s="13" t="s">
        <v>515</v>
      </c>
      <c r="G90" s="14" t="s">
        <v>43</v>
      </c>
      <c r="H90" s="15" t="s">
        <v>516</v>
      </c>
      <c r="I90" s="15" t="s">
        <v>54</v>
      </c>
      <c r="J90" s="15"/>
      <c r="K90" s="13"/>
      <c r="L90" s="16" t="s">
        <v>46</v>
      </c>
      <c r="M90" s="16" t="s">
        <v>517</v>
      </c>
    </row>
    <row r="91" ht="42" customHeight="1" spans="1:13" x14ac:dyDescent="0.25">
      <c r="A91" s="17" t="s">
        <v>518</v>
      </c>
      <c r="B91" s="18" t="s">
        <v>519</v>
      </c>
      <c r="C91" s="19" t="s">
        <v>520</v>
      </c>
      <c r="D91" s="19" t="s">
        <v>521</v>
      </c>
      <c r="E91" s="19" t="s">
        <v>522</v>
      </c>
      <c r="F91" s="19" t="s">
        <v>523</v>
      </c>
      <c r="G91" s="26" t="s">
        <v>62</v>
      </c>
      <c r="H91" s="21" t="s">
        <v>516</v>
      </c>
      <c r="I91" s="21" t="s">
        <v>54</v>
      </c>
      <c r="J91" s="21"/>
      <c r="K91" s="19"/>
      <c r="L91" s="22" t="s">
        <v>46</v>
      </c>
      <c r="M91" s="22" t="s">
        <v>524</v>
      </c>
    </row>
    <row r="92" ht="20.1" customHeight="1" spans="1:11" x14ac:dyDescent="0.25">
      <c r="A92" s="9" t="s">
        <v>525</v>
      </c>
      <c r="B92" s="10"/>
      <c r="C92" s="10"/>
      <c r="D92" s="10"/>
      <c r="E92" s="10"/>
      <c r="F92" s="10"/>
      <c r="G92" s="10"/>
      <c r="H92" s="10"/>
      <c r="I92" s="10"/>
      <c r="J92" s="10"/>
      <c r="K92" s="10"/>
    </row>
    <row r="93" ht="42" customHeight="1" spans="1:13" x14ac:dyDescent="0.25">
      <c r="A93" s="17" t="s">
        <v>526</v>
      </c>
      <c r="B93" s="18" t="s">
        <v>527</v>
      </c>
      <c r="C93" s="19" t="s">
        <v>528</v>
      </c>
      <c r="D93" s="19" t="s">
        <v>529</v>
      </c>
      <c r="E93" s="19" t="s">
        <v>530</v>
      </c>
      <c r="F93" s="19" t="s">
        <v>531</v>
      </c>
      <c r="G93" s="20" t="s">
        <v>43</v>
      </c>
      <c r="H93" s="21" t="s">
        <v>408</v>
      </c>
      <c r="I93" s="21" t="s">
        <v>54</v>
      </c>
      <c r="J93" s="21"/>
      <c r="K93" s="19"/>
      <c r="L93" s="22" t="s">
        <v>63</v>
      </c>
      <c r="M93" s="22" t="s">
        <v>532</v>
      </c>
    </row>
    <row r="94" ht="42" customHeight="1" spans="1:13" x14ac:dyDescent="0.25">
      <c r="A94" s="11" t="s">
        <v>533</v>
      </c>
      <c r="B94" s="12" t="s">
        <v>534</v>
      </c>
      <c r="C94" s="13" t="s">
        <v>535</v>
      </c>
      <c r="D94" s="13" t="s">
        <v>536</v>
      </c>
      <c r="E94" s="13" t="s">
        <v>537</v>
      </c>
      <c r="F94" s="13" t="s">
        <v>538</v>
      </c>
      <c r="G94" s="14" t="s">
        <v>43</v>
      </c>
      <c r="H94" s="15" t="s">
        <v>408</v>
      </c>
      <c r="I94" s="15" t="s">
        <v>54</v>
      </c>
      <c r="J94" s="15"/>
      <c r="K94" s="13"/>
      <c r="L94" s="16" t="s">
        <v>148</v>
      </c>
      <c r="M94" s="16" t="s">
        <v>539</v>
      </c>
    </row>
    <row r="95" ht="20.1" customHeight="1" spans="1:11" x14ac:dyDescent="0.25">
      <c r="A95" s="9" t="s">
        <v>540</v>
      </c>
      <c r="B95" s="10"/>
      <c r="C95" s="10"/>
      <c r="D95" s="10"/>
      <c r="E95" s="10"/>
      <c r="F95" s="10"/>
      <c r="G95" s="10"/>
      <c r="H95" s="10"/>
      <c r="I95" s="10"/>
      <c r="J95" s="10"/>
      <c r="K95" s="10"/>
    </row>
    <row r="96" ht="42" customHeight="1" spans="1:13" x14ac:dyDescent="0.25">
      <c r="A96" s="11" t="s">
        <v>541</v>
      </c>
      <c r="B96" s="12" t="s">
        <v>542</v>
      </c>
      <c r="C96" s="13" t="s">
        <v>543</v>
      </c>
      <c r="D96" s="13" t="s">
        <v>544</v>
      </c>
      <c r="E96" s="13" t="s">
        <v>545</v>
      </c>
      <c r="F96" s="13" t="s">
        <v>546</v>
      </c>
      <c r="G96" s="14" t="s">
        <v>43</v>
      </c>
      <c r="H96" s="15" t="s">
        <v>44</v>
      </c>
      <c r="I96" s="15" t="s">
        <v>45</v>
      </c>
      <c r="J96" s="15"/>
      <c r="K96" s="13"/>
      <c r="L96" s="16" t="s">
        <v>46</v>
      </c>
      <c r="M96" s="16" t="s">
        <v>547</v>
      </c>
    </row>
    <row r="98" ht="22" customHeight="1" spans="1:11" x14ac:dyDescent="0.25">
      <c r="A98" s="9" t="s">
        <v>548</v>
      </c>
      <c r="B98" s="9"/>
      <c r="C98" s="9"/>
      <c r="D98" s="9"/>
      <c r="E98" s="9"/>
      <c r="F98" s="9"/>
      <c r="G98" s="9"/>
      <c r="H98" s="9"/>
      <c r="I98" s="9"/>
      <c r="J98" s="9"/>
      <c r="K98" s="9"/>
    </row>
    <row r="99" ht="62" customHeight="1" spans="1:13" x14ac:dyDescent="0.25">
      <c r="A99" s="27" t="s">
        <v>549</v>
      </c>
      <c r="B99" s="16" t="s">
        <v>550</v>
      </c>
      <c r="C99" s="16" t="s">
        <v>551</v>
      </c>
      <c r="D99" s="16" t="s">
        <v>552</v>
      </c>
      <c r="E99" s="16" t="s">
        <v>553</v>
      </c>
      <c r="F99" s="16" t="s">
        <v>554</v>
      </c>
      <c r="G99" s="28" t="s">
        <v>62</v>
      </c>
      <c r="H99" s="16" t="s">
        <v>555</v>
      </c>
      <c r="I99" s="15" t="s">
        <v>54</v>
      </c>
      <c r="J99" s="16" t="s">
        <v>556</v>
      </c>
      <c r="K99" s="16" t="s">
        <v>556</v>
      </c>
      <c r="L99" s="16" t="s">
        <v>557</v>
      </c>
      <c r="M99" s="16" t="s">
        <v>558</v>
      </c>
    </row>
    <row r="100" ht="48" customHeight="1" spans="1:13" x14ac:dyDescent="0.25">
      <c r="A100" s="27" t="s">
        <v>559</v>
      </c>
      <c r="B100" s="16" t="s">
        <v>550</v>
      </c>
      <c r="C100" s="16" t="s">
        <v>560</v>
      </c>
      <c r="D100" s="16" t="s">
        <v>561</v>
      </c>
      <c r="E100" s="16" t="s">
        <v>562</v>
      </c>
      <c r="F100" s="16" t="s">
        <v>563</v>
      </c>
      <c r="G100" s="28" t="s">
        <v>62</v>
      </c>
      <c r="H100" s="16" t="s">
        <v>172</v>
      </c>
      <c r="I100" s="15" t="s">
        <v>54</v>
      </c>
      <c r="J100" s="16" t="s">
        <v>556</v>
      </c>
      <c r="K100" s="16" t="s">
        <v>556</v>
      </c>
      <c r="L100" s="16" t="s">
        <v>557</v>
      </c>
      <c r="M100" s="16" t="s">
        <v>558</v>
      </c>
    </row>
    <row r="101" ht="62" customHeight="1" spans="1:13" x14ac:dyDescent="0.25">
      <c r="A101" s="27" t="s">
        <v>564</v>
      </c>
      <c r="B101" s="16" t="s">
        <v>565</v>
      </c>
      <c r="C101" s="16" t="s">
        <v>566</v>
      </c>
      <c r="D101" s="16" t="s">
        <v>567</v>
      </c>
      <c r="E101" s="16" t="s">
        <v>568</v>
      </c>
      <c r="F101" s="16" t="s">
        <v>569</v>
      </c>
      <c r="G101" s="28" t="s">
        <v>62</v>
      </c>
      <c r="H101" s="16" t="s">
        <v>570</v>
      </c>
      <c r="I101" s="15" t="s">
        <v>54</v>
      </c>
      <c r="J101" s="16" t="s">
        <v>556</v>
      </c>
      <c r="K101" s="16" t="s">
        <v>556</v>
      </c>
      <c r="L101" s="16" t="s">
        <v>557</v>
      </c>
      <c r="M101" s="16" t="s">
        <v>558</v>
      </c>
    </row>
    <row r="102" ht="48" customHeight="1" spans="1:13" x14ac:dyDescent="0.25">
      <c r="A102" s="27" t="s">
        <v>571</v>
      </c>
      <c r="B102" s="16" t="s">
        <v>572</v>
      </c>
      <c r="C102" s="16" t="s">
        <v>573</v>
      </c>
      <c r="D102" s="16" t="s">
        <v>574</v>
      </c>
      <c r="E102" s="16" t="s">
        <v>575</v>
      </c>
      <c r="F102" s="16" t="s">
        <v>576</v>
      </c>
      <c r="G102" s="28" t="s">
        <v>62</v>
      </c>
      <c r="H102" s="16" t="s">
        <v>577</v>
      </c>
      <c r="I102" s="15" t="s">
        <v>54</v>
      </c>
      <c r="J102" s="16" t="s">
        <v>556</v>
      </c>
      <c r="K102" s="16" t="s">
        <v>556</v>
      </c>
      <c r="L102" s="16" t="s">
        <v>578</v>
      </c>
      <c r="M102" s="16" t="s">
        <v>558</v>
      </c>
    </row>
    <row r="103" ht="48" customHeight="1" spans="1:13" x14ac:dyDescent="0.25">
      <c r="A103" s="27" t="s">
        <v>579</v>
      </c>
      <c r="B103" s="16" t="s">
        <v>580</v>
      </c>
      <c r="C103" s="16" t="s">
        <v>581</v>
      </c>
      <c r="D103" s="16" t="s">
        <v>582</v>
      </c>
      <c r="E103" s="16" t="s">
        <v>583</v>
      </c>
      <c r="F103" s="16" t="s">
        <v>584</v>
      </c>
      <c r="G103" s="28" t="s">
        <v>62</v>
      </c>
      <c r="H103" s="16" t="s">
        <v>72</v>
      </c>
      <c r="I103" s="15" t="s">
        <v>54</v>
      </c>
      <c r="J103" s="16" t="s">
        <v>556</v>
      </c>
      <c r="K103" s="16" t="s">
        <v>556</v>
      </c>
      <c r="L103" s="16" t="s">
        <v>557</v>
      </c>
      <c r="M103" s="16" t="s">
        <v>558</v>
      </c>
    </row>
    <row r="104" ht="62" customHeight="1" spans="1:13" x14ac:dyDescent="0.25">
      <c r="A104" s="27" t="s">
        <v>585</v>
      </c>
      <c r="B104" s="16" t="s">
        <v>580</v>
      </c>
      <c r="C104" s="16" t="s">
        <v>586</v>
      </c>
      <c r="D104" s="16" t="s">
        <v>587</v>
      </c>
      <c r="E104" s="16" t="s">
        <v>588</v>
      </c>
      <c r="F104" s="16" t="s">
        <v>589</v>
      </c>
      <c r="G104" s="28" t="s">
        <v>62</v>
      </c>
      <c r="H104" s="16" t="s">
        <v>300</v>
      </c>
      <c r="I104" s="15" t="s">
        <v>54</v>
      </c>
      <c r="J104" s="16" t="s">
        <v>556</v>
      </c>
      <c r="K104" s="16" t="s">
        <v>556</v>
      </c>
      <c r="L104" s="16" t="s">
        <v>557</v>
      </c>
      <c r="M104" s="16" t="s">
        <v>558</v>
      </c>
    </row>
    <row r="105" ht="34" customHeight="1" spans="1:13" x14ac:dyDescent="0.25">
      <c r="A105" s="27" t="s">
        <v>590</v>
      </c>
      <c r="B105" s="16" t="s">
        <v>580</v>
      </c>
      <c r="C105" s="16" t="s">
        <v>591</v>
      </c>
      <c r="D105" s="16" t="s">
        <v>592</v>
      </c>
      <c r="E105" s="16" t="s">
        <v>593</v>
      </c>
      <c r="F105" s="16" t="s">
        <v>594</v>
      </c>
      <c r="G105" s="28" t="s">
        <v>62</v>
      </c>
      <c r="H105" s="16" t="s">
        <v>72</v>
      </c>
      <c r="I105" s="15" t="s">
        <v>54</v>
      </c>
      <c r="J105" s="16" t="s">
        <v>556</v>
      </c>
      <c r="K105" s="16" t="s">
        <v>556</v>
      </c>
      <c r="L105" s="16" t="s">
        <v>557</v>
      </c>
      <c r="M105" s="16" t="s">
        <v>558</v>
      </c>
    </row>
    <row r="106" ht="48" customHeight="1" spans="1:13" x14ac:dyDescent="0.25">
      <c r="A106" s="27" t="s">
        <v>595</v>
      </c>
      <c r="B106" s="16" t="s">
        <v>596</v>
      </c>
      <c r="C106" s="16" t="s">
        <v>597</v>
      </c>
      <c r="D106" s="16" t="s">
        <v>598</v>
      </c>
      <c r="E106" s="16" t="s">
        <v>599</v>
      </c>
      <c r="F106" s="16" t="s">
        <v>600</v>
      </c>
      <c r="G106" s="28" t="s">
        <v>80</v>
      </c>
      <c r="H106" s="16" t="s">
        <v>601</v>
      </c>
      <c r="I106" s="15" t="s">
        <v>54</v>
      </c>
      <c r="J106" s="16" t="s">
        <v>556</v>
      </c>
      <c r="K106" s="16" t="s">
        <v>556</v>
      </c>
      <c r="L106" s="16" t="s">
        <v>557</v>
      </c>
      <c r="M106" s="16" t="s">
        <v>558</v>
      </c>
    </row>
    <row r="107" ht="48" customHeight="1" spans="1:13" x14ac:dyDescent="0.25">
      <c r="A107" s="27" t="s">
        <v>602</v>
      </c>
      <c r="B107" s="16" t="s">
        <v>603</v>
      </c>
      <c r="C107" s="16" t="s">
        <v>604</v>
      </c>
      <c r="D107" s="16" t="s">
        <v>605</v>
      </c>
      <c r="E107" s="16" t="s">
        <v>606</v>
      </c>
      <c r="F107" s="16" t="s">
        <v>607</v>
      </c>
      <c r="G107" s="28" t="s">
        <v>80</v>
      </c>
      <c r="H107" s="16" t="s">
        <v>172</v>
      </c>
      <c r="I107" s="15" t="s">
        <v>54</v>
      </c>
      <c r="J107" s="16" t="s">
        <v>556</v>
      </c>
      <c r="K107" s="16" t="s">
        <v>556</v>
      </c>
      <c r="L107" s="16" t="s">
        <v>578</v>
      </c>
      <c r="M107" s="16" t="s">
        <v>558</v>
      </c>
    </row>
    <row r="109" ht="22" customHeight="1" spans="1:11" x14ac:dyDescent="0.25">
      <c r="A109" s="9" t="s">
        <v>608</v>
      </c>
      <c r="B109" s="9"/>
      <c r="C109" s="9"/>
      <c r="D109" s="9"/>
      <c r="E109" s="9"/>
      <c r="F109" s="9"/>
      <c r="G109" s="9"/>
      <c r="H109" s="9"/>
      <c r="I109" s="9"/>
      <c r="J109" s="9"/>
      <c r="K109" s="9"/>
    </row>
    <row r="110" ht="76" customHeight="1" spans="1:13" x14ac:dyDescent="0.25">
      <c r="A110" s="27" t="s">
        <v>609</v>
      </c>
      <c r="B110" s="16" t="s">
        <v>610</v>
      </c>
      <c r="C110" s="16" t="s">
        <v>611</v>
      </c>
      <c r="D110" s="16" t="s">
        <v>612</v>
      </c>
      <c r="E110" s="16" t="s">
        <v>613</v>
      </c>
      <c r="F110" s="16" t="s">
        <v>614</v>
      </c>
      <c r="G110" s="28" t="s">
        <v>62</v>
      </c>
      <c r="H110" s="16" t="s">
        <v>615</v>
      </c>
      <c r="I110" s="15" t="s">
        <v>54</v>
      </c>
      <c r="J110" s="16" t="s">
        <v>556</v>
      </c>
      <c r="K110" s="16" t="s">
        <v>556</v>
      </c>
      <c r="L110" s="16" t="s">
        <v>557</v>
      </c>
      <c r="M110" s="16" t="s">
        <v>616</v>
      </c>
    </row>
    <row r="111" ht="48" customHeight="1" spans="1:13" x14ac:dyDescent="0.25">
      <c r="A111" s="27" t="s">
        <v>617</v>
      </c>
      <c r="B111" s="16" t="s">
        <v>618</v>
      </c>
      <c r="C111" s="16" t="s">
        <v>619</v>
      </c>
      <c r="D111" s="16" t="s">
        <v>620</v>
      </c>
      <c r="E111" s="16" t="s">
        <v>621</v>
      </c>
      <c r="F111" s="16" t="s">
        <v>622</v>
      </c>
      <c r="G111" s="28" t="s">
        <v>80</v>
      </c>
      <c r="H111" s="16" t="s">
        <v>623</v>
      </c>
      <c r="I111" s="15" t="s">
        <v>54</v>
      </c>
      <c r="J111" s="16" t="s">
        <v>556</v>
      </c>
      <c r="K111" s="16" t="s">
        <v>556</v>
      </c>
      <c r="L111" s="16" t="s">
        <v>578</v>
      </c>
      <c r="M111" s="16" t="s">
        <v>624</v>
      </c>
    </row>
    <row r="112" ht="62" customHeight="1" spans="1:13" x14ac:dyDescent="0.25">
      <c r="A112" s="27" t="s">
        <v>625</v>
      </c>
      <c r="B112" s="16" t="s">
        <v>626</v>
      </c>
      <c r="C112" s="16" t="s">
        <v>627</v>
      </c>
      <c r="D112" s="16" t="s">
        <v>628</v>
      </c>
      <c r="E112" s="16" t="s">
        <v>629</v>
      </c>
      <c r="F112" s="16" t="s">
        <v>630</v>
      </c>
      <c r="G112" s="28" t="s">
        <v>62</v>
      </c>
      <c r="H112" s="16" t="s">
        <v>623</v>
      </c>
      <c r="I112" s="15" t="s">
        <v>54</v>
      </c>
      <c r="J112" s="16" t="s">
        <v>556</v>
      </c>
      <c r="K112" s="16" t="s">
        <v>556</v>
      </c>
      <c r="L112" s="16" t="s">
        <v>631</v>
      </c>
      <c r="M112" s="16" t="s">
        <v>616</v>
      </c>
    </row>
    <row r="113" ht="48" customHeight="1" spans="1:13" x14ac:dyDescent="0.25">
      <c r="A113" s="27" t="s">
        <v>632</v>
      </c>
      <c r="B113" s="16" t="s">
        <v>633</v>
      </c>
      <c r="C113" s="16" t="s">
        <v>634</v>
      </c>
      <c r="D113" s="16" t="s">
        <v>635</v>
      </c>
      <c r="E113" s="16" t="s">
        <v>636</v>
      </c>
      <c r="F113" s="16" t="s">
        <v>637</v>
      </c>
      <c r="G113" s="28" t="s">
        <v>80</v>
      </c>
      <c r="H113" s="16" t="s">
        <v>623</v>
      </c>
      <c r="I113" s="15" t="s">
        <v>54</v>
      </c>
      <c r="J113" s="16" t="s">
        <v>556</v>
      </c>
      <c r="K113" s="16" t="s">
        <v>556</v>
      </c>
      <c r="L113" s="16" t="s">
        <v>578</v>
      </c>
      <c r="M113" s="16" t="s">
        <v>616</v>
      </c>
    </row>
    <row r="114" ht="48" customHeight="1" spans="1:13" x14ac:dyDescent="0.25">
      <c r="A114" s="27" t="s">
        <v>638</v>
      </c>
      <c r="B114" s="16" t="s">
        <v>639</v>
      </c>
      <c r="C114" s="16" t="s">
        <v>640</v>
      </c>
      <c r="D114" s="16" t="s">
        <v>641</v>
      </c>
      <c r="E114" s="16" t="s">
        <v>642</v>
      </c>
      <c r="F114" s="16" t="s">
        <v>643</v>
      </c>
      <c r="G114" s="28" t="s">
        <v>80</v>
      </c>
      <c r="H114" s="16" t="s">
        <v>623</v>
      </c>
      <c r="I114" s="15" t="s">
        <v>54</v>
      </c>
      <c r="J114" s="16" t="s">
        <v>556</v>
      </c>
      <c r="K114" s="16" t="s">
        <v>556</v>
      </c>
      <c r="L114" s="16" t="s">
        <v>578</v>
      </c>
      <c r="M114" s="16" t="s">
        <v>616</v>
      </c>
    </row>
    <row r="115" ht="48" customHeight="1" spans="1:13" x14ac:dyDescent="0.25">
      <c r="A115" s="27" t="s">
        <v>644</v>
      </c>
      <c r="B115" s="16" t="s">
        <v>645</v>
      </c>
      <c r="C115" s="16" t="s">
        <v>646</v>
      </c>
      <c r="D115" s="16" t="s">
        <v>647</v>
      </c>
      <c r="E115" s="16" t="s">
        <v>648</v>
      </c>
      <c r="F115" s="16" t="s">
        <v>649</v>
      </c>
      <c r="G115" s="28" t="s">
        <v>62</v>
      </c>
      <c r="H115" s="16" t="s">
        <v>623</v>
      </c>
      <c r="I115" s="15" t="s">
        <v>54</v>
      </c>
      <c r="J115" s="16" t="s">
        <v>556</v>
      </c>
      <c r="K115" s="16" t="s">
        <v>556</v>
      </c>
      <c r="L115" s="16" t="s">
        <v>578</v>
      </c>
      <c r="M115" s="16" t="s">
        <v>624</v>
      </c>
    </row>
    <row r="116" ht="62" customHeight="1" spans="1:13" x14ac:dyDescent="0.25">
      <c r="A116" s="27" t="s">
        <v>650</v>
      </c>
      <c r="B116" s="16" t="s">
        <v>651</v>
      </c>
      <c r="C116" s="16" t="s">
        <v>652</v>
      </c>
      <c r="D116" s="16" t="s">
        <v>653</v>
      </c>
      <c r="E116" s="16" t="s">
        <v>654</v>
      </c>
      <c r="F116" s="16" t="s">
        <v>655</v>
      </c>
      <c r="G116" s="28" t="s">
        <v>80</v>
      </c>
      <c r="H116" s="16" t="s">
        <v>623</v>
      </c>
      <c r="I116" s="15" t="s">
        <v>54</v>
      </c>
      <c r="J116" s="16" t="s">
        <v>556</v>
      </c>
      <c r="K116" s="16" t="s">
        <v>556</v>
      </c>
      <c r="L116" s="16" t="s">
        <v>656</v>
      </c>
      <c r="M116" s="16" t="s">
        <v>624</v>
      </c>
    </row>
    <row r="117" ht="34" customHeight="1" spans="1:13" x14ac:dyDescent="0.25">
      <c r="A117" s="27" t="s">
        <v>657</v>
      </c>
      <c r="B117" s="16" t="s">
        <v>658</v>
      </c>
      <c r="C117" s="16" t="s">
        <v>659</v>
      </c>
      <c r="D117" s="16" t="s">
        <v>660</v>
      </c>
      <c r="E117" s="16" t="s">
        <v>661</v>
      </c>
      <c r="F117" s="16" t="s">
        <v>662</v>
      </c>
      <c r="G117" s="28" t="s">
        <v>62</v>
      </c>
      <c r="H117" s="16" t="s">
        <v>623</v>
      </c>
      <c r="I117" s="15" t="s">
        <v>54</v>
      </c>
      <c r="J117" s="16" t="s">
        <v>556</v>
      </c>
      <c r="K117" s="16" t="s">
        <v>556</v>
      </c>
      <c r="L117" s="16" t="s">
        <v>656</v>
      </c>
      <c r="M117" s="16" t="s">
        <v>616</v>
      </c>
    </row>
    <row r="118" ht="62" customHeight="1" spans="1:13" x14ac:dyDescent="0.25">
      <c r="A118" s="27" t="s">
        <v>663</v>
      </c>
      <c r="B118" s="16" t="s">
        <v>664</v>
      </c>
      <c r="C118" s="16" t="s">
        <v>665</v>
      </c>
      <c r="D118" s="16" t="s">
        <v>666</v>
      </c>
      <c r="E118" s="16" t="s">
        <v>667</v>
      </c>
      <c r="F118" s="16" t="s">
        <v>668</v>
      </c>
      <c r="G118" s="28" t="s">
        <v>80</v>
      </c>
      <c r="H118" s="16" t="s">
        <v>623</v>
      </c>
      <c r="I118" s="15" t="s">
        <v>54</v>
      </c>
      <c r="J118" s="16" t="s">
        <v>556</v>
      </c>
      <c r="K118" s="16" t="s">
        <v>556</v>
      </c>
      <c r="L118" s="16" t="s">
        <v>669</v>
      </c>
      <c r="M118" s="16" t="s">
        <v>624</v>
      </c>
    </row>
    <row r="119" ht="34" customHeight="1" spans="1:13" x14ac:dyDescent="0.25">
      <c r="A119" s="27" t="s">
        <v>670</v>
      </c>
      <c r="B119" s="16" t="s">
        <v>671</v>
      </c>
      <c r="C119" s="16" t="s">
        <v>672</v>
      </c>
      <c r="D119" s="16" t="s">
        <v>647</v>
      </c>
      <c r="E119" s="16" t="s">
        <v>673</v>
      </c>
      <c r="F119" s="16" t="s">
        <v>674</v>
      </c>
      <c r="G119" s="28" t="s">
        <v>62</v>
      </c>
      <c r="H119" s="16" t="s">
        <v>623</v>
      </c>
      <c r="I119" s="15" t="s">
        <v>54</v>
      </c>
      <c r="J119" s="16" t="s">
        <v>556</v>
      </c>
      <c r="K119" s="16" t="s">
        <v>556</v>
      </c>
      <c r="L119" s="16" t="s">
        <v>578</v>
      </c>
      <c r="M119" s="16" t="s">
        <v>624</v>
      </c>
    </row>
    <row r="121" ht="22" customHeight="1" spans="1:11" x14ac:dyDescent="0.25">
      <c r="A121" s="9" t="s">
        <v>675</v>
      </c>
      <c r="B121" s="9"/>
      <c r="C121" s="9"/>
      <c r="D121" s="9"/>
      <c r="E121" s="9"/>
      <c r="F121" s="9"/>
      <c r="G121" s="9"/>
      <c r="H121" s="9"/>
      <c r="I121" s="9"/>
      <c r="J121" s="9"/>
      <c r="K121" s="9"/>
    </row>
    <row r="122" ht="62" customHeight="1" spans="1:13" x14ac:dyDescent="0.25">
      <c r="A122" s="27" t="s">
        <v>676</v>
      </c>
      <c r="B122" s="16" t="s">
        <v>677</v>
      </c>
      <c r="C122" s="16" t="s">
        <v>678</v>
      </c>
      <c r="D122" s="16" t="s">
        <v>679</v>
      </c>
      <c r="E122" s="16" t="s">
        <v>680</v>
      </c>
      <c r="F122" s="16" t="s">
        <v>681</v>
      </c>
      <c r="G122" s="28" t="s">
        <v>80</v>
      </c>
      <c r="H122" s="16" t="s">
        <v>300</v>
      </c>
      <c r="I122" s="15" t="s">
        <v>54</v>
      </c>
      <c r="J122" s="16" t="s">
        <v>556</v>
      </c>
      <c r="K122" s="16" t="s">
        <v>556</v>
      </c>
      <c r="L122" s="16" t="s">
        <v>656</v>
      </c>
      <c r="M122" s="16" t="s">
        <v>682</v>
      </c>
    </row>
    <row r="123" ht="48" customHeight="1" spans="1:13" x14ac:dyDescent="0.25">
      <c r="A123" s="27" t="s">
        <v>683</v>
      </c>
      <c r="B123" s="16" t="s">
        <v>684</v>
      </c>
      <c r="C123" s="16" t="s">
        <v>685</v>
      </c>
      <c r="D123" s="16" t="s">
        <v>686</v>
      </c>
      <c r="E123" s="16" t="s">
        <v>687</v>
      </c>
      <c r="F123" s="16" t="s">
        <v>688</v>
      </c>
      <c r="G123" s="28" t="s">
        <v>80</v>
      </c>
      <c r="H123" s="16" t="s">
        <v>300</v>
      </c>
      <c r="I123" s="15" t="s">
        <v>54</v>
      </c>
      <c r="J123" s="16" t="s">
        <v>556</v>
      </c>
      <c r="K123" s="16" t="s">
        <v>556</v>
      </c>
      <c r="L123" s="16" t="s">
        <v>578</v>
      </c>
      <c r="M123" s="16" t="s">
        <v>682</v>
      </c>
    </row>
    <row r="124" ht="34" customHeight="1" spans="1:13" x14ac:dyDescent="0.25">
      <c r="A124" s="27" t="s">
        <v>689</v>
      </c>
      <c r="B124" s="16" t="s">
        <v>690</v>
      </c>
      <c r="C124" s="16" t="s">
        <v>691</v>
      </c>
      <c r="D124" s="16" t="s">
        <v>692</v>
      </c>
      <c r="E124" s="16" t="s">
        <v>693</v>
      </c>
      <c r="F124" s="16" t="s">
        <v>694</v>
      </c>
      <c r="G124" s="28" t="s">
        <v>80</v>
      </c>
      <c r="H124" s="16" t="s">
        <v>300</v>
      </c>
      <c r="I124" s="15" t="s">
        <v>54</v>
      </c>
      <c r="J124" s="16" t="s">
        <v>556</v>
      </c>
      <c r="K124" s="16" t="s">
        <v>556</v>
      </c>
      <c r="L124" s="16" t="s">
        <v>578</v>
      </c>
      <c r="M124" s="16" t="s">
        <v>682</v>
      </c>
    </row>
    <row r="125" ht="48" customHeight="1" spans="1:13" x14ac:dyDescent="0.25">
      <c r="A125" s="27" t="s">
        <v>695</v>
      </c>
      <c r="B125" s="16" t="s">
        <v>696</v>
      </c>
      <c r="C125" s="16" t="s">
        <v>697</v>
      </c>
      <c r="D125" s="16" t="s">
        <v>698</v>
      </c>
      <c r="E125" s="16" t="s">
        <v>699</v>
      </c>
      <c r="F125" s="16" t="s">
        <v>700</v>
      </c>
      <c r="G125" s="28" t="s">
        <v>80</v>
      </c>
      <c r="H125" s="16" t="s">
        <v>300</v>
      </c>
      <c r="I125" s="15" t="s">
        <v>54</v>
      </c>
      <c r="J125" s="16" t="s">
        <v>556</v>
      </c>
      <c r="K125" s="16" t="s">
        <v>556</v>
      </c>
      <c r="L125" s="16" t="s">
        <v>631</v>
      </c>
      <c r="M125" s="16" t="s">
        <v>682</v>
      </c>
    </row>
    <row r="126" ht="34" customHeight="1" spans="1:13" x14ac:dyDescent="0.25">
      <c r="A126" s="27" t="s">
        <v>701</v>
      </c>
      <c r="B126" s="16" t="s">
        <v>702</v>
      </c>
      <c r="C126" s="16" t="s">
        <v>703</v>
      </c>
      <c r="D126" s="16" t="s">
        <v>704</v>
      </c>
      <c r="E126" s="16" t="s">
        <v>705</v>
      </c>
      <c r="F126" s="16" t="s">
        <v>706</v>
      </c>
      <c r="G126" s="28" t="s">
        <v>707</v>
      </c>
      <c r="H126" s="16" t="s">
        <v>300</v>
      </c>
      <c r="I126" s="15" t="s">
        <v>54</v>
      </c>
      <c r="J126" s="16" t="s">
        <v>556</v>
      </c>
      <c r="K126" s="16" t="s">
        <v>556</v>
      </c>
      <c r="L126" s="16" t="s">
        <v>656</v>
      </c>
      <c r="M126" s="16" t="s">
        <v>682</v>
      </c>
    </row>
    <row r="127" ht="48" customHeight="1" spans="1:13" x14ac:dyDescent="0.25">
      <c r="A127" s="27" t="s">
        <v>708</v>
      </c>
      <c r="B127" s="16" t="s">
        <v>709</v>
      </c>
      <c r="C127" s="16" t="s">
        <v>710</v>
      </c>
      <c r="D127" s="16" t="s">
        <v>711</v>
      </c>
      <c r="E127" s="16" t="s">
        <v>712</v>
      </c>
      <c r="F127" s="16" t="s">
        <v>713</v>
      </c>
      <c r="G127" s="28" t="s">
        <v>80</v>
      </c>
      <c r="H127" s="16" t="s">
        <v>300</v>
      </c>
      <c r="I127" s="15" t="s">
        <v>54</v>
      </c>
      <c r="J127" s="16" t="s">
        <v>556</v>
      </c>
      <c r="K127" s="16" t="s">
        <v>556</v>
      </c>
      <c r="L127" s="16" t="s">
        <v>578</v>
      </c>
      <c r="M127" s="16" t="s">
        <v>682</v>
      </c>
    </row>
    <row r="128" ht="34" customHeight="1" spans="1:13" x14ac:dyDescent="0.25">
      <c r="A128" s="27" t="s">
        <v>714</v>
      </c>
      <c r="B128" s="16" t="s">
        <v>715</v>
      </c>
      <c r="C128" s="16" t="s">
        <v>716</v>
      </c>
      <c r="D128" s="16" t="s">
        <v>717</v>
      </c>
      <c r="E128" s="16" t="s">
        <v>718</v>
      </c>
      <c r="F128" s="16" t="s">
        <v>719</v>
      </c>
      <c r="G128" s="28" t="s">
        <v>707</v>
      </c>
      <c r="H128" s="16" t="s">
        <v>300</v>
      </c>
      <c r="I128" s="15" t="s">
        <v>54</v>
      </c>
      <c r="J128" s="16" t="s">
        <v>556</v>
      </c>
      <c r="K128" s="16" t="s">
        <v>556</v>
      </c>
      <c r="L128" s="16" t="s">
        <v>578</v>
      </c>
      <c r="M128" s="16" t="s">
        <v>682</v>
      </c>
    </row>
    <row r="130" ht="22" customHeight="1" spans="1:11" x14ac:dyDescent="0.25">
      <c r="A130" s="9" t="s">
        <v>720</v>
      </c>
      <c r="B130" s="9"/>
      <c r="C130" s="9"/>
      <c r="D130" s="9"/>
      <c r="E130" s="9"/>
      <c r="F130" s="9"/>
      <c r="G130" s="9"/>
      <c r="H130" s="9"/>
      <c r="I130" s="9"/>
      <c r="J130" s="9"/>
      <c r="K130" s="9"/>
    </row>
    <row r="131" ht="48" customHeight="1" spans="1:13" x14ac:dyDescent="0.25">
      <c r="A131" s="27" t="s">
        <v>721</v>
      </c>
      <c r="B131" s="16" t="s">
        <v>722</v>
      </c>
      <c r="C131" s="16" t="s">
        <v>723</v>
      </c>
      <c r="D131" s="16" t="s">
        <v>724</v>
      </c>
      <c r="E131" s="16" t="s">
        <v>725</v>
      </c>
      <c r="F131" s="16" t="s">
        <v>726</v>
      </c>
      <c r="G131" s="28" t="s">
        <v>62</v>
      </c>
      <c r="H131" s="16" t="s">
        <v>326</v>
      </c>
      <c r="I131" s="15" t="s">
        <v>54</v>
      </c>
      <c r="J131" s="16" t="s">
        <v>556</v>
      </c>
      <c r="K131" s="16" t="s">
        <v>556</v>
      </c>
      <c r="L131" s="16" t="s">
        <v>727</v>
      </c>
      <c r="M131" s="16" t="s">
        <v>728</v>
      </c>
    </row>
    <row r="132" ht="34" customHeight="1" spans="1:13" x14ac:dyDescent="0.25">
      <c r="A132" s="27" t="s">
        <v>729</v>
      </c>
      <c r="B132" s="16" t="s">
        <v>730</v>
      </c>
      <c r="C132" s="16" t="s">
        <v>731</v>
      </c>
      <c r="D132" s="16" t="s">
        <v>704</v>
      </c>
      <c r="E132" s="16" t="s">
        <v>732</v>
      </c>
      <c r="F132" s="16" t="s">
        <v>733</v>
      </c>
      <c r="G132" s="28" t="s">
        <v>62</v>
      </c>
      <c r="H132" s="16" t="s">
        <v>326</v>
      </c>
      <c r="I132" s="15" t="s">
        <v>54</v>
      </c>
      <c r="J132" s="16" t="s">
        <v>556</v>
      </c>
      <c r="K132" s="16" t="s">
        <v>556</v>
      </c>
      <c r="L132" s="16" t="s">
        <v>669</v>
      </c>
      <c r="M132" s="16" t="s">
        <v>728</v>
      </c>
    </row>
    <row r="133" ht="34" customHeight="1" spans="1:13" x14ac:dyDescent="0.25">
      <c r="A133" s="27" t="s">
        <v>734</v>
      </c>
      <c r="B133" s="16" t="s">
        <v>735</v>
      </c>
      <c r="C133" s="16" t="s">
        <v>736</v>
      </c>
      <c r="D133" s="16" t="s">
        <v>737</v>
      </c>
      <c r="E133" s="16" t="s">
        <v>738</v>
      </c>
      <c r="F133" s="16" t="s">
        <v>739</v>
      </c>
      <c r="G133" s="28" t="s">
        <v>80</v>
      </c>
      <c r="H133" s="16" t="s">
        <v>326</v>
      </c>
      <c r="I133" s="15" t="s">
        <v>54</v>
      </c>
      <c r="J133" s="16" t="s">
        <v>556</v>
      </c>
      <c r="K133" s="16" t="s">
        <v>556</v>
      </c>
      <c r="L133" s="16" t="s">
        <v>578</v>
      </c>
      <c r="M133" s="16" t="s">
        <v>728</v>
      </c>
    </row>
    <row r="134" ht="48" customHeight="1" spans="1:13" x14ac:dyDescent="0.25">
      <c r="A134" s="27" t="s">
        <v>740</v>
      </c>
      <c r="B134" s="16" t="s">
        <v>741</v>
      </c>
      <c r="C134" s="16" t="s">
        <v>742</v>
      </c>
      <c r="D134" s="16" t="s">
        <v>743</v>
      </c>
      <c r="E134" s="16" t="s">
        <v>744</v>
      </c>
      <c r="F134" s="16" t="s">
        <v>745</v>
      </c>
      <c r="G134" s="28" t="s">
        <v>707</v>
      </c>
      <c r="H134" s="16" t="s">
        <v>326</v>
      </c>
      <c r="I134" s="15" t="s">
        <v>54</v>
      </c>
      <c r="J134" s="16" t="s">
        <v>556</v>
      </c>
      <c r="K134" s="16" t="s">
        <v>556</v>
      </c>
      <c r="L134" s="16" t="s">
        <v>669</v>
      </c>
      <c r="M134" s="16" t="s">
        <v>624</v>
      </c>
    </row>
    <row r="135" ht="48" customHeight="1" spans="1:13" x14ac:dyDescent="0.25">
      <c r="A135" s="27" t="s">
        <v>746</v>
      </c>
      <c r="B135" s="16" t="s">
        <v>747</v>
      </c>
      <c r="C135" s="16" t="s">
        <v>748</v>
      </c>
      <c r="D135" s="16" t="s">
        <v>749</v>
      </c>
      <c r="E135" s="16" t="s">
        <v>750</v>
      </c>
      <c r="F135" s="16" t="s">
        <v>751</v>
      </c>
      <c r="G135" s="28" t="s">
        <v>62</v>
      </c>
      <c r="H135" s="16" t="s">
        <v>752</v>
      </c>
      <c r="I135" s="15" t="s">
        <v>54</v>
      </c>
      <c r="J135" s="16" t="s">
        <v>556</v>
      </c>
      <c r="K135" s="16" t="s">
        <v>556</v>
      </c>
      <c r="L135" s="16" t="s">
        <v>578</v>
      </c>
      <c r="M135" s="16" t="s">
        <v>753</v>
      </c>
    </row>
    <row r="136" ht="62" customHeight="1" spans="1:13" x14ac:dyDescent="0.25">
      <c r="A136" s="27" t="s">
        <v>754</v>
      </c>
      <c r="B136" s="16" t="s">
        <v>755</v>
      </c>
      <c r="C136" s="16" t="s">
        <v>756</v>
      </c>
      <c r="D136" s="16" t="s">
        <v>757</v>
      </c>
      <c r="E136" s="16" t="s">
        <v>758</v>
      </c>
      <c r="F136" s="16" t="s">
        <v>759</v>
      </c>
      <c r="G136" s="28" t="s">
        <v>62</v>
      </c>
      <c r="H136" s="16" t="s">
        <v>131</v>
      </c>
      <c r="I136" s="15" t="s">
        <v>54</v>
      </c>
      <c r="J136" s="16" t="s">
        <v>556</v>
      </c>
      <c r="K136" s="16" t="s">
        <v>556</v>
      </c>
      <c r="L136" s="16" t="s">
        <v>578</v>
      </c>
      <c r="M136" s="16" t="s">
        <v>728</v>
      </c>
    </row>
    <row r="137" ht="34" customHeight="1" spans="1:13" x14ac:dyDescent="0.25">
      <c r="A137" s="27" t="s">
        <v>760</v>
      </c>
      <c r="B137" s="16" t="s">
        <v>761</v>
      </c>
      <c r="C137" s="16" t="s">
        <v>762</v>
      </c>
      <c r="D137" s="16" t="s">
        <v>704</v>
      </c>
      <c r="E137" s="16" t="s">
        <v>763</v>
      </c>
      <c r="F137" s="16" t="s">
        <v>764</v>
      </c>
      <c r="G137" s="28" t="s">
        <v>80</v>
      </c>
      <c r="H137" s="16" t="s">
        <v>131</v>
      </c>
      <c r="I137" s="15" t="s">
        <v>54</v>
      </c>
      <c r="J137" s="16" t="s">
        <v>556</v>
      </c>
      <c r="K137" s="16" t="s">
        <v>556</v>
      </c>
      <c r="L137" s="16" t="s">
        <v>765</v>
      </c>
      <c r="M137" s="16" t="s">
        <v>728</v>
      </c>
    </row>
    <row r="138" ht="48" customHeight="1" spans="1:13" x14ac:dyDescent="0.25">
      <c r="A138" s="27" t="s">
        <v>766</v>
      </c>
      <c r="B138" s="16" t="s">
        <v>767</v>
      </c>
      <c r="C138" s="16" t="s">
        <v>768</v>
      </c>
      <c r="D138" s="16" t="s">
        <v>769</v>
      </c>
      <c r="E138" s="16" t="s">
        <v>770</v>
      </c>
      <c r="F138" s="16" t="s">
        <v>771</v>
      </c>
      <c r="G138" s="28" t="s">
        <v>80</v>
      </c>
      <c r="H138" s="16" t="s">
        <v>300</v>
      </c>
      <c r="I138" s="15" t="s">
        <v>54</v>
      </c>
      <c r="J138" s="16" t="s">
        <v>556</v>
      </c>
      <c r="K138" s="16" t="s">
        <v>556</v>
      </c>
      <c r="L138" s="16" t="s">
        <v>578</v>
      </c>
      <c r="M138" s="16" t="s">
        <v>728</v>
      </c>
    </row>
    <row r="139" ht="34" customHeight="1" spans="1:13" x14ac:dyDescent="0.25">
      <c r="A139" s="27" t="s">
        <v>772</v>
      </c>
      <c r="B139" s="16" t="s">
        <v>773</v>
      </c>
      <c r="C139" s="16" t="s">
        <v>774</v>
      </c>
      <c r="D139" s="16" t="s">
        <v>775</v>
      </c>
      <c r="E139" s="16" t="s">
        <v>776</v>
      </c>
      <c r="F139" s="16" t="s">
        <v>777</v>
      </c>
      <c r="G139" s="28" t="s">
        <v>707</v>
      </c>
      <c r="H139" s="16" t="s">
        <v>300</v>
      </c>
      <c r="I139" s="15" t="s">
        <v>54</v>
      </c>
      <c r="J139" s="16" t="s">
        <v>556</v>
      </c>
      <c r="K139" s="16" t="s">
        <v>556</v>
      </c>
      <c r="L139" s="16" t="s">
        <v>578</v>
      </c>
      <c r="M139" s="16" t="s">
        <v>728</v>
      </c>
    </row>
    <row r="141" ht="22" customHeight="1" spans="1:11" x14ac:dyDescent="0.25">
      <c r="A141" s="9" t="s">
        <v>778</v>
      </c>
      <c r="B141" s="9"/>
      <c r="C141" s="9"/>
      <c r="D141" s="9"/>
      <c r="E141" s="9"/>
      <c r="F141" s="9"/>
      <c r="G141" s="9"/>
      <c r="H141" s="9"/>
      <c r="I141" s="9"/>
      <c r="J141" s="9"/>
      <c r="K141" s="9"/>
    </row>
    <row r="142" ht="48" customHeight="1" spans="1:13" x14ac:dyDescent="0.25">
      <c r="A142" s="27" t="s">
        <v>779</v>
      </c>
      <c r="B142" s="16" t="s">
        <v>780</v>
      </c>
      <c r="C142" s="16" t="s">
        <v>781</v>
      </c>
      <c r="D142" s="16" t="s">
        <v>782</v>
      </c>
      <c r="E142" s="16" t="s">
        <v>783</v>
      </c>
      <c r="F142" s="16" t="s">
        <v>784</v>
      </c>
      <c r="G142" s="28" t="s">
        <v>62</v>
      </c>
      <c r="H142" s="16" t="s">
        <v>131</v>
      </c>
      <c r="I142" s="15" t="s">
        <v>54</v>
      </c>
      <c r="J142" s="16" t="s">
        <v>556</v>
      </c>
      <c r="K142" s="16" t="s">
        <v>556</v>
      </c>
      <c r="L142" s="16" t="s">
        <v>656</v>
      </c>
      <c r="M142" s="16" t="s">
        <v>785</v>
      </c>
    </row>
    <row r="143" ht="62" customHeight="1" spans="1:13" x14ac:dyDescent="0.25">
      <c r="A143" s="27" t="s">
        <v>786</v>
      </c>
      <c r="B143" s="16" t="s">
        <v>787</v>
      </c>
      <c r="C143" s="16" t="s">
        <v>788</v>
      </c>
      <c r="D143" s="16" t="s">
        <v>789</v>
      </c>
      <c r="E143" s="16" t="s">
        <v>790</v>
      </c>
      <c r="F143" s="16" t="s">
        <v>791</v>
      </c>
      <c r="G143" s="28" t="s">
        <v>43</v>
      </c>
      <c r="H143" s="16" t="s">
        <v>104</v>
      </c>
      <c r="I143" s="15" t="s">
        <v>54</v>
      </c>
      <c r="J143" s="16" t="s">
        <v>556</v>
      </c>
      <c r="K143" s="16" t="s">
        <v>556</v>
      </c>
      <c r="L143" s="16" t="s">
        <v>656</v>
      </c>
      <c r="M143" s="16" t="s">
        <v>785</v>
      </c>
    </row>
    <row r="144" ht="48" customHeight="1" spans="1:13" x14ac:dyDescent="0.25">
      <c r="A144" s="27" t="s">
        <v>792</v>
      </c>
      <c r="B144" s="16" t="s">
        <v>793</v>
      </c>
      <c r="C144" s="16" t="s">
        <v>794</v>
      </c>
      <c r="D144" s="16" t="s">
        <v>795</v>
      </c>
      <c r="E144" s="16" t="s">
        <v>796</v>
      </c>
      <c r="F144" s="16" t="s">
        <v>797</v>
      </c>
      <c r="G144" s="28" t="s">
        <v>62</v>
      </c>
      <c r="H144" s="16" t="s">
        <v>131</v>
      </c>
      <c r="I144" s="15" t="s">
        <v>54</v>
      </c>
      <c r="J144" s="16" t="s">
        <v>556</v>
      </c>
      <c r="K144" s="16" t="s">
        <v>556</v>
      </c>
      <c r="L144" s="16" t="s">
        <v>656</v>
      </c>
      <c r="M144" s="16" t="s">
        <v>785</v>
      </c>
    </row>
    <row r="145" ht="34" customHeight="1" spans="1:13" x14ac:dyDescent="0.25">
      <c r="A145" s="27" t="s">
        <v>798</v>
      </c>
      <c r="B145" s="16" t="s">
        <v>799</v>
      </c>
      <c r="C145" s="16" t="s">
        <v>800</v>
      </c>
      <c r="D145" s="16" t="s">
        <v>801</v>
      </c>
      <c r="E145" s="16" t="s">
        <v>802</v>
      </c>
      <c r="F145" s="16" t="s">
        <v>803</v>
      </c>
      <c r="G145" s="28" t="s">
        <v>62</v>
      </c>
      <c r="H145" s="16" t="s">
        <v>104</v>
      </c>
      <c r="I145" s="15" t="s">
        <v>54</v>
      </c>
      <c r="J145" s="16" t="s">
        <v>556</v>
      </c>
      <c r="K145" s="16" t="s">
        <v>556</v>
      </c>
      <c r="L145" s="16" t="s">
        <v>656</v>
      </c>
      <c r="M145" s="16" t="s">
        <v>785</v>
      </c>
    </row>
    <row r="146" ht="48" customHeight="1" spans="1:13" x14ac:dyDescent="0.25">
      <c r="A146" s="27" t="s">
        <v>804</v>
      </c>
      <c r="B146" s="16" t="s">
        <v>805</v>
      </c>
      <c r="C146" s="16" t="s">
        <v>806</v>
      </c>
      <c r="D146" s="16" t="s">
        <v>704</v>
      </c>
      <c r="E146" s="16" t="s">
        <v>807</v>
      </c>
      <c r="F146" s="16" t="s">
        <v>808</v>
      </c>
      <c r="G146" s="28" t="s">
        <v>62</v>
      </c>
      <c r="H146" s="16" t="s">
        <v>809</v>
      </c>
      <c r="I146" s="15" t="s">
        <v>54</v>
      </c>
      <c r="J146" s="16" t="s">
        <v>556</v>
      </c>
      <c r="K146" s="16" t="s">
        <v>556</v>
      </c>
      <c r="L146" s="16" t="s">
        <v>656</v>
      </c>
      <c r="M146" s="16" t="s">
        <v>785</v>
      </c>
    </row>
    <row r="147" ht="34" customHeight="1" spans="1:13" x14ac:dyDescent="0.25">
      <c r="A147" s="27" t="s">
        <v>810</v>
      </c>
      <c r="B147" s="16" t="s">
        <v>811</v>
      </c>
      <c r="C147" s="16" t="s">
        <v>812</v>
      </c>
      <c r="D147" s="16" t="s">
        <v>704</v>
      </c>
      <c r="E147" s="16" t="s">
        <v>813</v>
      </c>
      <c r="F147" s="16" t="s">
        <v>814</v>
      </c>
      <c r="G147" s="28" t="s">
        <v>62</v>
      </c>
      <c r="H147" s="16" t="s">
        <v>809</v>
      </c>
      <c r="I147" s="15" t="s">
        <v>54</v>
      </c>
      <c r="J147" s="16" t="s">
        <v>556</v>
      </c>
      <c r="K147" s="16" t="s">
        <v>556</v>
      </c>
      <c r="L147" s="16" t="s">
        <v>578</v>
      </c>
      <c r="M147" s="16" t="s">
        <v>624</v>
      </c>
    </row>
    <row r="148" ht="48" customHeight="1" spans="1:13" x14ac:dyDescent="0.25">
      <c r="A148" s="27" t="s">
        <v>815</v>
      </c>
      <c r="B148" s="16" t="s">
        <v>816</v>
      </c>
      <c r="C148" s="16" t="s">
        <v>817</v>
      </c>
      <c r="D148" s="16" t="s">
        <v>704</v>
      </c>
      <c r="E148" s="16" t="s">
        <v>818</v>
      </c>
      <c r="F148" s="16" t="s">
        <v>819</v>
      </c>
      <c r="G148" s="28" t="s">
        <v>62</v>
      </c>
      <c r="H148" s="16" t="s">
        <v>131</v>
      </c>
      <c r="I148" s="15" t="s">
        <v>54</v>
      </c>
      <c r="J148" s="16" t="s">
        <v>556</v>
      </c>
      <c r="K148" s="16" t="s">
        <v>556</v>
      </c>
      <c r="L148" s="16" t="s">
        <v>656</v>
      </c>
      <c r="M148" s="16" t="s">
        <v>785</v>
      </c>
    </row>
    <row r="149" ht="34" customHeight="1" spans="1:13" x14ac:dyDescent="0.25">
      <c r="A149" s="27" t="s">
        <v>820</v>
      </c>
      <c r="B149" s="16" t="s">
        <v>821</v>
      </c>
      <c r="C149" s="16" t="s">
        <v>822</v>
      </c>
      <c r="D149" s="16" t="s">
        <v>704</v>
      </c>
      <c r="E149" s="16" t="s">
        <v>823</v>
      </c>
      <c r="F149" s="16" t="s">
        <v>824</v>
      </c>
      <c r="G149" s="28" t="s">
        <v>80</v>
      </c>
      <c r="H149" s="16" t="s">
        <v>131</v>
      </c>
      <c r="I149" s="15" t="s">
        <v>54</v>
      </c>
      <c r="J149" s="16" t="s">
        <v>556</v>
      </c>
      <c r="K149" s="16" t="s">
        <v>556</v>
      </c>
      <c r="L149" s="16" t="s">
        <v>578</v>
      </c>
      <c r="M149" s="16" t="s">
        <v>785</v>
      </c>
    </row>
    <row r="150" ht="34" customHeight="1" spans="1:13" x14ac:dyDescent="0.25">
      <c r="A150" s="27" t="s">
        <v>825</v>
      </c>
      <c r="B150" s="16" t="s">
        <v>826</v>
      </c>
      <c r="C150" s="16" t="s">
        <v>827</v>
      </c>
      <c r="D150" s="16" t="s">
        <v>704</v>
      </c>
      <c r="E150" s="16" t="s">
        <v>828</v>
      </c>
      <c r="F150" s="16" t="s">
        <v>829</v>
      </c>
      <c r="G150" s="28" t="s">
        <v>80</v>
      </c>
      <c r="H150" s="16" t="s">
        <v>809</v>
      </c>
      <c r="I150" s="15" t="s">
        <v>54</v>
      </c>
      <c r="J150" s="16" t="s">
        <v>556</v>
      </c>
      <c r="K150" s="16" t="s">
        <v>556</v>
      </c>
      <c r="L150" s="16" t="s">
        <v>656</v>
      </c>
      <c r="M150" s="16" t="s">
        <v>624</v>
      </c>
    </row>
    <row r="151" ht="34" customHeight="1" spans="1:13" x14ac:dyDescent="0.25">
      <c r="A151" s="27" t="s">
        <v>830</v>
      </c>
      <c r="B151" s="16" t="s">
        <v>831</v>
      </c>
      <c r="C151" s="16" t="s">
        <v>832</v>
      </c>
      <c r="D151" s="16" t="s">
        <v>833</v>
      </c>
      <c r="E151" s="16" t="s">
        <v>834</v>
      </c>
      <c r="F151" s="16" t="s">
        <v>835</v>
      </c>
      <c r="G151" s="28" t="s">
        <v>62</v>
      </c>
      <c r="H151" s="16" t="s">
        <v>809</v>
      </c>
      <c r="I151" s="15" t="s">
        <v>54</v>
      </c>
      <c r="J151" s="16" t="s">
        <v>556</v>
      </c>
      <c r="K151" s="16" t="s">
        <v>556</v>
      </c>
      <c r="L151" s="16" t="s">
        <v>669</v>
      </c>
      <c r="M151" s="16" t="s">
        <v>785</v>
      </c>
    </row>
    <row r="152" ht="34" customHeight="1" spans="1:13" x14ac:dyDescent="0.25">
      <c r="A152" s="27" t="s">
        <v>836</v>
      </c>
      <c r="B152" s="16" t="s">
        <v>837</v>
      </c>
      <c r="C152" s="16" t="s">
        <v>838</v>
      </c>
      <c r="D152" s="16" t="s">
        <v>839</v>
      </c>
      <c r="E152" s="16" t="s">
        <v>840</v>
      </c>
      <c r="F152" s="16" t="s">
        <v>841</v>
      </c>
      <c r="G152" s="28" t="s">
        <v>80</v>
      </c>
      <c r="H152" s="16" t="s">
        <v>131</v>
      </c>
      <c r="I152" s="15" t="s">
        <v>54</v>
      </c>
      <c r="J152" s="16" t="s">
        <v>556</v>
      </c>
      <c r="K152" s="16" t="s">
        <v>556</v>
      </c>
      <c r="L152" s="16" t="s">
        <v>578</v>
      </c>
      <c r="M152" s="16" t="s">
        <v>624</v>
      </c>
    </row>
    <row r="153" ht="62" customHeight="1" spans="1:13" x14ac:dyDescent="0.25">
      <c r="A153" s="27" t="s">
        <v>842</v>
      </c>
      <c r="B153" s="16" t="s">
        <v>843</v>
      </c>
      <c r="C153" s="16" t="s">
        <v>844</v>
      </c>
      <c r="D153" s="16" t="s">
        <v>845</v>
      </c>
      <c r="E153" s="16" t="s">
        <v>846</v>
      </c>
      <c r="F153" s="16" t="s">
        <v>847</v>
      </c>
      <c r="G153" s="28" t="s">
        <v>80</v>
      </c>
      <c r="H153" s="16" t="s">
        <v>809</v>
      </c>
      <c r="I153" s="15" t="s">
        <v>54</v>
      </c>
      <c r="J153" s="16" t="s">
        <v>556</v>
      </c>
      <c r="K153" s="16" t="s">
        <v>556</v>
      </c>
      <c r="L153" s="16" t="s">
        <v>578</v>
      </c>
      <c r="M153" s="16" t="s">
        <v>785</v>
      </c>
    </row>
    <row r="154" ht="62" customHeight="1" spans="1:13" x14ac:dyDescent="0.25">
      <c r="A154" s="27" t="s">
        <v>848</v>
      </c>
      <c r="B154" s="16" t="s">
        <v>849</v>
      </c>
      <c r="C154" s="16" t="s">
        <v>850</v>
      </c>
      <c r="D154" s="16" t="s">
        <v>851</v>
      </c>
      <c r="E154" s="16" t="s">
        <v>852</v>
      </c>
      <c r="F154" s="16" t="s">
        <v>853</v>
      </c>
      <c r="G154" s="28" t="s">
        <v>62</v>
      </c>
      <c r="H154" s="16" t="s">
        <v>854</v>
      </c>
      <c r="I154" s="15" t="s">
        <v>54</v>
      </c>
      <c r="J154" s="16" t="s">
        <v>556</v>
      </c>
      <c r="K154" s="16" t="s">
        <v>556</v>
      </c>
      <c r="L154" s="16" t="s">
        <v>855</v>
      </c>
      <c r="M154" s="16" t="s">
        <v>856</v>
      </c>
    </row>
    <row r="155" ht="48" customHeight="1" spans="1:13" x14ac:dyDescent="0.25">
      <c r="A155" s="27" t="s">
        <v>857</v>
      </c>
      <c r="B155" s="16" t="s">
        <v>858</v>
      </c>
      <c r="C155" s="16" t="s">
        <v>859</v>
      </c>
      <c r="D155" s="16" t="s">
        <v>704</v>
      </c>
      <c r="E155" s="16" t="s">
        <v>860</v>
      </c>
      <c r="F155" s="16" t="s">
        <v>861</v>
      </c>
      <c r="G155" s="28" t="s">
        <v>80</v>
      </c>
      <c r="H155" s="16" t="s">
        <v>862</v>
      </c>
      <c r="I155" s="15" t="s">
        <v>54</v>
      </c>
      <c r="J155" s="16" t="s">
        <v>556</v>
      </c>
      <c r="K155" s="16" t="s">
        <v>556</v>
      </c>
      <c r="L155" s="16" t="s">
        <v>578</v>
      </c>
      <c r="M155" s="16" t="s">
        <v>863</v>
      </c>
    </row>
    <row r="157" ht="22" customHeight="1" spans="1:11" x14ac:dyDescent="0.25">
      <c r="A157" s="9" t="s">
        <v>864</v>
      </c>
      <c r="B157" s="9"/>
      <c r="C157" s="9"/>
      <c r="D157" s="9"/>
      <c r="E157" s="9"/>
      <c r="F157" s="9"/>
      <c r="G157" s="9"/>
      <c r="H157" s="9"/>
      <c r="I157" s="9"/>
      <c r="J157" s="9"/>
      <c r="K157" s="9"/>
    </row>
    <row r="158" ht="48" customHeight="1" spans="1:13" x14ac:dyDescent="0.25">
      <c r="A158" s="27" t="s">
        <v>865</v>
      </c>
      <c r="B158" s="16" t="s">
        <v>866</v>
      </c>
      <c r="C158" s="16" t="s">
        <v>867</v>
      </c>
      <c r="D158" s="16" t="s">
        <v>868</v>
      </c>
      <c r="E158" s="16" t="s">
        <v>869</v>
      </c>
      <c r="F158" s="16" t="s">
        <v>870</v>
      </c>
      <c r="G158" s="28" t="s">
        <v>62</v>
      </c>
      <c r="H158" s="16" t="s">
        <v>871</v>
      </c>
      <c r="I158" s="15" t="s">
        <v>54</v>
      </c>
      <c r="J158" s="16" t="s">
        <v>556</v>
      </c>
      <c r="K158" s="16" t="s">
        <v>556</v>
      </c>
      <c r="L158" s="16" t="s">
        <v>669</v>
      </c>
      <c r="M158" s="16" t="s">
        <v>872</v>
      </c>
    </row>
    <row r="159" ht="34" customHeight="1" spans="1:13" x14ac:dyDescent="0.25">
      <c r="A159" s="27" t="s">
        <v>873</v>
      </c>
      <c r="B159" s="16" t="s">
        <v>874</v>
      </c>
      <c r="C159" s="16" t="s">
        <v>875</v>
      </c>
      <c r="D159" s="16" t="s">
        <v>868</v>
      </c>
      <c r="E159" s="16" t="s">
        <v>876</v>
      </c>
      <c r="F159" s="16" t="s">
        <v>877</v>
      </c>
      <c r="G159" s="28" t="s">
        <v>62</v>
      </c>
      <c r="H159" s="16" t="s">
        <v>871</v>
      </c>
      <c r="I159" s="15" t="s">
        <v>54</v>
      </c>
      <c r="J159" s="16" t="s">
        <v>556</v>
      </c>
      <c r="K159" s="16" t="s">
        <v>556</v>
      </c>
      <c r="L159" s="16" t="s">
        <v>669</v>
      </c>
      <c r="M159" s="16" t="s">
        <v>872</v>
      </c>
    </row>
    <row r="160" ht="48" customHeight="1" spans="1:13" x14ac:dyDescent="0.25">
      <c r="A160" s="27" t="s">
        <v>878</v>
      </c>
      <c r="B160" s="16" t="s">
        <v>879</v>
      </c>
      <c r="C160" s="16" t="s">
        <v>880</v>
      </c>
      <c r="D160" s="16" t="s">
        <v>868</v>
      </c>
      <c r="E160" s="16" t="s">
        <v>881</v>
      </c>
      <c r="F160" s="16" t="s">
        <v>882</v>
      </c>
      <c r="G160" s="28" t="s">
        <v>43</v>
      </c>
      <c r="H160" s="16" t="s">
        <v>104</v>
      </c>
      <c r="I160" s="15" t="s">
        <v>54</v>
      </c>
      <c r="J160" s="16" t="s">
        <v>556</v>
      </c>
      <c r="K160" s="16" t="s">
        <v>556</v>
      </c>
      <c r="L160" s="16" t="s">
        <v>656</v>
      </c>
      <c r="M160" s="16" t="s">
        <v>872</v>
      </c>
    </row>
    <row r="161" ht="34" customHeight="1" spans="1:13" x14ac:dyDescent="0.25">
      <c r="A161" s="27" t="s">
        <v>883</v>
      </c>
      <c r="B161" s="16" t="s">
        <v>884</v>
      </c>
      <c r="C161" s="16" t="s">
        <v>885</v>
      </c>
      <c r="D161" s="16" t="s">
        <v>704</v>
      </c>
      <c r="E161" s="16" t="s">
        <v>886</v>
      </c>
      <c r="F161" s="16" t="s">
        <v>887</v>
      </c>
      <c r="G161" s="28" t="s">
        <v>62</v>
      </c>
      <c r="H161" s="16" t="s">
        <v>104</v>
      </c>
      <c r="I161" s="15" t="s">
        <v>54</v>
      </c>
      <c r="J161" s="16" t="s">
        <v>556</v>
      </c>
      <c r="K161" s="16" t="s">
        <v>556</v>
      </c>
      <c r="L161" s="16" t="s">
        <v>578</v>
      </c>
      <c r="M161" s="16" t="s">
        <v>872</v>
      </c>
    </row>
    <row r="162" ht="48" customHeight="1" spans="1:13" x14ac:dyDescent="0.25">
      <c r="A162" s="27" t="s">
        <v>888</v>
      </c>
      <c r="B162" s="16" t="s">
        <v>889</v>
      </c>
      <c r="C162" s="16" t="s">
        <v>890</v>
      </c>
      <c r="D162" s="16" t="s">
        <v>891</v>
      </c>
      <c r="E162" s="16" t="s">
        <v>892</v>
      </c>
      <c r="F162" s="16" t="s">
        <v>893</v>
      </c>
      <c r="G162" s="28" t="s">
        <v>80</v>
      </c>
      <c r="H162" s="16" t="s">
        <v>104</v>
      </c>
      <c r="I162" s="15" t="s">
        <v>54</v>
      </c>
      <c r="J162" s="16" t="s">
        <v>556</v>
      </c>
      <c r="K162" s="16" t="s">
        <v>556</v>
      </c>
      <c r="L162" s="16" t="s">
        <v>631</v>
      </c>
      <c r="M162" s="16" t="s">
        <v>872</v>
      </c>
    </row>
    <row r="163" ht="34" customHeight="1" spans="1:13" x14ac:dyDescent="0.25">
      <c r="A163" s="27" t="s">
        <v>894</v>
      </c>
      <c r="B163" s="16" t="s">
        <v>895</v>
      </c>
      <c r="C163" s="16" t="s">
        <v>896</v>
      </c>
      <c r="D163" s="16" t="s">
        <v>897</v>
      </c>
      <c r="E163" s="16" t="s">
        <v>898</v>
      </c>
      <c r="F163" s="16" t="s">
        <v>899</v>
      </c>
      <c r="G163" s="28" t="s">
        <v>80</v>
      </c>
      <c r="H163" s="16" t="s">
        <v>131</v>
      </c>
      <c r="I163" s="15" t="s">
        <v>54</v>
      </c>
      <c r="J163" s="16" t="s">
        <v>556</v>
      </c>
      <c r="K163" s="16" t="s">
        <v>556</v>
      </c>
      <c r="L163" s="16" t="s">
        <v>656</v>
      </c>
      <c r="M163" s="16" t="s">
        <v>872</v>
      </c>
    </row>
    <row r="164" ht="48" customHeight="1" spans="1:13" x14ac:dyDescent="0.25">
      <c r="A164" s="27" t="s">
        <v>900</v>
      </c>
      <c r="B164" s="16" t="s">
        <v>901</v>
      </c>
      <c r="C164" s="16" t="s">
        <v>902</v>
      </c>
      <c r="D164" s="16" t="s">
        <v>903</v>
      </c>
      <c r="E164" s="16" t="s">
        <v>904</v>
      </c>
      <c r="F164" s="16" t="s">
        <v>905</v>
      </c>
      <c r="G164" s="28" t="s">
        <v>80</v>
      </c>
      <c r="H164" s="16" t="s">
        <v>44</v>
      </c>
      <c r="I164" s="15" t="s">
        <v>54</v>
      </c>
      <c r="J164" s="16" t="s">
        <v>556</v>
      </c>
      <c r="K164" s="16" t="s">
        <v>556</v>
      </c>
      <c r="L164" s="16" t="s">
        <v>656</v>
      </c>
      <c r="M164" s="16" t="s">
        <v>624</v>
      </c>
    </row>
    <row r="165" ht="48" customHeight="1" spans="1:13" x14ac:dyDescent="0.25">
      <c r="A165" s="27" t="s">
        <v>906</v>
      </c>
      <c r="B165" s="16" t="s">
        <v>907</v>
      </c>
      <c r="C165" s="16" t="s">
        <v>908</v>
      </c>
      <c r="D165" s="16" t="s">
        <v>909</v>
      </c>
      <c r="E165" s="16" t="s">
        <v>910</v>
      </c>
      <c r="F165" s="16" t="s">
        <v>911</v>
      </c>
      <c r="G165" s="28" t="s">
        <v>62</v>
      </c>
      <c r="H165" s="16" t="s">
        <v>131</v>
      </c>
      <c r="I165" s="15" t="s">
        <v>54</v>
      </c>
      <c r="J165" s="16" t="s">
        <v>556</v>
      </c>
      <c r="K165" s="16" t="s">
        <v>556</v>
      </c>
      <c r="L165" s="16" t="s">
        <v>578</v>
      </c>
      <c r="M165" s="16" t="s">
        <v>912</v>
      </c>
    </row>
    <row r="166" ht="34" customHeight="1" spans="1:13" x14ac:dyDescent="0.25">
      <c r="A166" s="27" t="s">
        <v>913</v>
      </c>
      <c r="B166" s="16" t="s">
        <v>914</v>
      </c>
      <c r="C166" s="16" t="s">
        <v>915</v>
      </c>
      <c r="D166" s="16" t="s">
        <v>916</v>
      </c>
      <c r="E166" s="16" t="s">
        <v>917</v>
      </c>
      <c r="F166" s="16" t="s">
        <v>918</v>
      </c>
      <c r="G166" s="28" t="s">
        <v>707</v>
      </c>
      <c r="H166" s="16" t="s">
        <v>919</v>
      </c>
      <c r="I166" s="15" t="s">
        <v>54</v>
      </c>
      <c r="J166" s="16" t="s">
        <v>556</v>
      </c>
      <c r="K166" s="16" t="s">
        <v>556</v>
      </c>
      <c r="L166" s="16" t="s">
        <v>578</v>
      </c>
      <c r="M166" s="16" t="s">
        <v>872</v>
      </c>
    </row>
    <row r="167" ht="34" customHeight="1" spans="1:13" x14ac:dyDescent="0.25">
      <c r="A167" s="27" t="s">
        <v>920</v>
      </c>
      <c r="B167" s="16" t="s">
        <v>921</v>
      </c>
      <c r="C167" s="16" t="s">
        <v>922</v>
      </c>
      <c r="D167" s="16" t="s">
        <v>923</v>
      </c>
      <c r="E167" s="16" t="s">
        <v>924</v>
      </c>
      <c r="F167" s="16" t="s">
        <v>925</v>
      </c>
      <c r="G167" s="28" t="s">
        <v>707</v>
      </c>
      <c r="H167" s="16" t="s">
        <v>926</v>
      </c>
      <c r="I167" s="15" t="s">
        <v>54</v>
      </c>
      <c r="J167" s="16" t="s">
        <v>556</v>
      </c>
      <c r="K167" s="16" t="s">
        <v>556</v>
      </c>
      <c r="L167" s="16" t="s">
        <v>578</v>
      </c>
      <c r="M167" s="16" t="s">
        <v>927</v>
      </c>
    </row>
    <row r="169" ht="22" customHeight="1" spans="1:11" x14ac:dyDescent="0.25">
      <c r="A169" s="9" t="s">
        <v>928</v>
      </c>
      <c r="B169" s="9"/>
      <c r="C169" s="9"/>
      <c r="D169" s="9"/>
      <c r="E169" s="9"/>
      <c r="F169" s="9"/>
      <c r="G169" s="9"/>
      <c r="H169" s="9"/>
      <c r="I169" s="9"/>
      <c r="J169" s="9"/>
      <c r="K169" s="9"/>
    </row>
    <row r="170" ht="76" customHeight="1" spans="1:13" x14ac:dyDescent="0.25">
      <c r="A170" s="27" t="s">
        <v>929</v>
      </c>
      <c r="B170" s="16" t="s">
        <v>930</v>
      </c>
      <c r="C170" s="16" t="s">
        <v>931</v>
      </c>
      <c r="D170" s="16" t="s">
        <v>868</v>
      </c>
      <c r="E170" s="16" t="s">
        <v>932</v>
      </c>
      <c r="F170" s="16" t="s">
        <v>933</v>
      </c>
      <c r="G170" s="28" t="s">
        <v>62</v>
      </c>
      <c r="H170" s="16" t="s">
        <v>809</v>
      </c>
      <c r="I170" s="15" t="s">
        <v>54</v>
      </c>
      <c r="J170" s="16" t="s">
        <v>556</v>
      </c>
      <c r="K170" s="16" t="s">
        <v>556</v>
      </c>
      <c r="L170" s="16" t="s">
        <v>934</v>
      </c>
      <c r="M170" s="16" t="s">
        <v>935</v>
      </c>
    </row>
    <row r="171" ht="34" customHeight="1" spans="1:13" x14ac:dyDescent="0.25">
      <c r="A171" s="27" t="s">
        <v>936</v>
      </c>
      <c r="B171" s="16" t="s">
        <v>937</v>
      </c>
      <c r="C171" s="16" t="s">
        <v>938</v>
      </c>
      <c r="D171" s="16" t="s">
        <v>704</v>
      </c>
      <c r="E171" s="16" t="s">
        <v>939</v>
      </c>
      <c r="F171" s="16" t="s">
        <v>940</v>
      </c>
      <c r="G171" s="28" t="s">
        <v>80</v>
      </c>
      <c r="H171" s="16" t="s">
        <v>131</v>
      </c>
      <c r="I171" s="15" t="s">
        <v>54</v>
      </c>
      <c r="J171" s="16" t="s">
        <v>556</v>
      </c>
      <c r="K171" s="16" t="s">
        <v>556</v>
      </c>
      <c r="L171" s="16" t="s">
        <v>578</v>
      </c>
      <c r="M171" s="16" t="s">
        <v>624</v>
      </c>
    </row>
    <row r="172" ht="48" customHeight="1" spans="1:13" x14ac:dyDescent="0.25">
      <c r="A172" s="27" t="s">
        <v>941</v>
      </c>
      <c r="B172" s="16" t="s">
        <v>942</v>
      </c>
      <c r="C172" s="16" t="s">
        <v>943</v>
      </c>
      <c r="D172" s="16" t="s">
        <v>704</v>
      </c>
      <c r="E172" s="16" t="s">
        <v>944</v>
      </c>
      <c r="F172" s="16" t="s">
        <v>945</v>
      </c>
      <c r="G172" s="28" t="s">
        <v>80</v>
      </c>
      <c r="H172" s="16" t="s">
        <v>131</v>
      </c>
      <c r="I172" s="15" t="s">
        <v>54</v>
      </c>
      <c r="J172" s="16" t="s">
        <v>556</v>
      </c>
      <c r="K172" s="16" t="s">
        <v>556</v>
      </c>
      <c r="L172" s="16" t="s">
        <v>656</v>
      </c>
      <c r="M172" s="16" t="s">
        <v>946</v>
      </c>
    </row>
    <row r="173" ht="62" customHeight="1" spans="1:13" x14ac:dyDescent="0.25">
      <c r="A173" s="27" t="s">
        <v>947</v>
      </c>
      <c r="B173" s="16" t="s">
        <v>948</v>
      </c>
      <c r="C173" s="16" t="s">
        <v>949</v>
      </c>
      <c r="D173" s="16" t="s">
        <v>704</v>
      </c>
      <c r="E173" s="16" t="s">
        <v>950</v>
      </c>
      <c r="F173" s="16" t="s">
        <v>951</v>
      </c>
      <c r="G173" s="28" t="s">
        <v>62</v>
      </c>
      <c r="H173" s="16" t="s">
        <v>131</v>
      </c>
      <c r="I173" s="15" t="s">
        <v>54</v>
      </c>
      <c r="J173" s="16" t="s">
        <v>556</v>
      </c>
      <c r="K173" s="16" t="s">
        <v>556</v>
      </c>
      <c r="L173" s="16" t="s">
        <v>952</v>
      </c>
      <c r="M173" s="16" t="s">
        <v>946</v>
      </c>
    </row>
    <row r="174" ht="34" customHeight="1" spans="1:13" x14ac:dyDescent="0.25">
      <c r="A174" s="27" t="s">
        <v>953</v>
      </c>
      <c r="B174" s="16" t="s">
        <v>954</v>
      </c>
      <c r="C174" s="16" t="s">
        <v>955</v>
      </c>
      <c r="D174" s="16" t="s">
        <v>956</v>
      </c>
      <c r="E174" s="16" t="s">
        <v>957</v>
      </c>
      <c r="F174" s="16" t="s">
        <v>958</v>
      </c>
      <c r="G174" s="28" t="s">
        <v>62</v>
      </c>
      <c r="H174" s="16" t="s">
        <v>131</v>
      </c>
      <c r="I174" s="15" t="s">
        <v>54</v>
      </c>
      <c r="J174" s="16" t="s">
        <v>556</v>
      </c>
      <c r="K174" s="16" t="s">
        <v>556</v>
      </c>
      <c r="L174" s="16" t="s">
        <v>727</v>
      </c>
      <c r="M174" s="16" t="s">
        <v>959</v>
      </c>
    </row>
    <row r="175" ht="34" customHeight="1" spans="1:13" x14ac:dyDescent="0.25">
      <c r="A175" s="27" t="s">
        <v>960</v>
      </c>
      <c r="B175" s="16" t="s">
        <v>961</v>
      </c>
      <c r="C175" s="16" t="s">
        <v>962</v>
      </c>
      <c r="D175" s="16" t="s">
        <v>963</v>
      </c>
      <c r="E175" s="16" t="s">
        <v>964</v>
      </c>
      <c r="F175" s="16" t="s">
        <v>965</v>
      </c>
      <c r="G175" s="28" t="s">
        <v>80</v>
      </c>
      <c r="H175" s="16" t="s">
        <v>131</v>
      </c>
      <c r="I175" s="15" t="s">
        <v>54</v>
      </c>
      <c r="J175" s="16" t="s">
        <v>556</v>
      </c>
      <c r="K175" s="16" t="s">
        <v>556</v>
      </c>
      <c r="L175" s="16" t="s">
        <v>656</v>
      </c>
      <c r="M175" s="16" t="s">
        <v>959</v>
      </c>
    </row>
    <row r="176" ht="48" customHeight="1" spans="1:13" x14ac:dyDescent="0.25">
      <c r="A176" s="27" t="s">
        <v>966</v>
      </c>
      <c r="B176" s="16" t="s">
        <v>967</v>
      </c>
      <c r="C176" s="16" t="s">
        <v>968</v>
      </c>
      <c r="D176" s="16" t="s">
        <v>704</v>
      </c>
      <c r="E176" s="16" t="s">
        <v>969</v>
      </c>
      <c r="F176" s="16" t="s">
        <v>970</v>
      </c>
      <c r="G176" s="28" t="s">
        <v>80</v>
      </c>
      <c r="H176" s="16" t="s">
        <v>926</v>
      </c>
      <c r="I176" s="15" t="s">
        <v>54</v>
      </c>
      <c r="J176" s="16" t="s">
        <v>556</v>
      </c>
      <c r="K176" s="16" t="s">
        <v>556</v>
      </c>
      <c r="L176" s="16" t="s">
        <v>656</v>
      </c>
      <c r="M176" s="16" t="s">
        <v>971</v>
      </c>
    </row>
    <row r="177" ht="48" customHeight="1" spans="1:13" x14ac:dyDescent="0.25">
      <c r="A177" s="27" t="s">
        <v>972</v>
      </c>
      <c r="B177" s="16" t="s">
        <v>973</v>
      </c>
      <c r="C177" s="16" t="s">
        <v>974</v>
      </c>
      <c r="D177" s="16" t="s">
        <v>975</v>
      </c>
      <c r="E177" s="16" t="s">
        <v>976</v>
      </c>
      <c r="F177" s="16" t="s">
        <v>977</v>
      </c>
      <c r="G177" s="28" t="s">
        <v>43</v>
      </c>
      <c r="H177" s="16" t="s">
        <v>978</v>
      </c>
      <c r="I177" s="15" t="s">
        <v>54</v>
      </c>
      <c r="J177" s="16" t="s">
        <v>556</v>
      </c>
      <c r="K177" s="16" t="s">
        <v>556</v>
      </c>
      <c r="L177" s="16" t="s">
        <v>656</v>
      </c>
      <c r="M177" s="16" t="s">
        <v>979</v>
      </c>
    </row>
    <row r="178" ht="48" customHeight="1" spans="1:13" x14ac:dyDescent="0.25">
      <c r="A178" s="27" t="s">
        <v>980</v>
      </c>
      <c r="B178" s="16" t="s">
        <v>981</v>
      </c>
      <c r="C178" s="16" t="s">
        <v>982</v>
      </c>
      <c r="D178" s="16" t="s">
        <v>983</v>
      </c>
      <c r="E178" s="16" t="s">
        <v>984</v>
      </c>
      <c r="F178" s="16" t="s">
        <v>985</v>
      </c>
      <c r="G178" s="28" t="s">
        <v>80</v>
      </c>
      <c r="H178" s="16" t="s">
        <v>986</v>
      </c>
      <c r="I178" s="15" t="s">
        <v>54</v>
      </c>
      <c r="J178" s="16" t="s">
        <v>556</v>
      </c>
      <c r="K178" s="16" t="s">
        <v>556</v>
      </c>
      <c r="L178" s="16" t="s">
        <v>987</v>
      </c>
      <c r="M178" s="16" t="s">
        <v>624</v>
      </c>
    </row>
  </sheetData>
  <autoFilter ref="A8:M178"/>
  <mergeCells count="30">
    <mergeCell ref="A9:K9"/>
    <mergeCell ref="A13:K13"/>
    <mergeCell ref="A18:K18"/>
    <mergeCell ref="A25:K25"/>
    <mergeCell ref="A34:K34"/>
    <mergeCell ref="A37:K37"/>
    <mergeCell ref="A42:K42"/>
    <mergeCell ref="A48:K48"/>
    <mergeCell ref="A50:K50"/>
    <mergeCell ref="A52:K52"/>
    <mergeCell ref="A57:K57"/>
    <mergeCell ref="A61:K61"/>
    <mergeCell ref="A67:K67"/>
    <mergeCell ref="A69:K69"/>
    <mergeCell ref="A71:K71"/>
    <mergeCell ref="A73:K73"/>
    <mergeCell ref="A76:K76"/>
    <mergeCell ref="A81:K81"/>
    <mergeCell ref="A83:K83"/>
    <mergeCell ref="A87:K87"/>
    <mergeCell ref="A89:K89"/>
    <mergeCell ref="A92:K92"/>
    <mergeCell ref="A95:K95"/>
    <mergeCell ref="A98:K98"/>
    <mergeCell ref="A109:K109"/>
    <mergeCell ref="A121:K121"/>
    <mergeCell ref="A130:K130"/>
    <mergeCell ref="A141:K141"/>
    <mergeCell ref="A157:K157"/>
    <mergeCell ref="A169:K169"/>
  </mergeCells>
  <dataValidations count="1">
    <dataValidation type="list" allowBlank="1" sqref="I9:I400">
      <formula1>"Not Run,Passed,Failed,Blocked,In Progress"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FormatPr defaultRowHeight="15" outlineLevelRow="0" outlineLevelCol="0" x14ac:dyDescent="55"/>
  <cols>
    <col min="1" max="2" width="10" customWidth="1"/>
    <col min="3" max="3" width="46" customWidth="1"/>
    <col min="4" max="4" width="62" customWidth="1"/>
    <col min="5" max="5" width="30" customWidth="1"/>
  </cols>
  <sheetData>
    <row r="1" spans="1:1" x14ac:dyDescent="0.25">
      <c r="A1" s="29" t="s">
        <v>988</v>
      </c>
    </row>
    <row r="2" spans="1:5" s="30" customFormat="1" x14ac:dyDescent="0.25">
      <c r="A2" s="30" t="s">
        <v>989</v>
      </c>
      <c r="B2" s="30" t="s">
        <v>990</v>
      </c>
      <c r="C2" s="30" t="s">
        <v>991</v>
      </c>
      <c r="D2" s="30" t="s">
        <v>992</v>
      </c>
      <c r="E2" s="30" t="s">
        <v>993</v>
      </c>
    </row>
    <row r="3" ht="62" customHeight="1" spans="1:5" s="31" customFormat="1" x14ac:dyDescent="0.25">
      <c r="A3" s="31" t="s">
        <v>994</v>
      </c>
      <c r="B3" s="31" t="s">
        <v>62</v>
      </c>
      <c r="C3" s="31" t="s">
        <v>995</v>
      </c>
      <c r="D3" s="31" t="s">
        <v>996</v>
      </c>
      <c r="E3" s="31" t="s">
        <v>997</v>
      </c>
    </row>
    <row r="4" ht="62" customHeight="1" spans="1:5" s="31" customFormat="1" x14ac:dyDescent="0.25">
      <c r="A4" s="31" t="s">
        <v>998</v>
      </c>
      <c r="B4" s="31" t="s">
        <v>80</v>
      </c>
      <c r="C4" s="31" t="s">
        <v>999</v>
      </c>
      <c r="D4" s="31" t="s">
        <v>1000</v>
      </c>
      <c r="E4" s="31" t="s">
        <v>1001</v>
      </c>
    </row>
    <row r="5" ht="62" customHeight="1" spans="1:5" s="31" customFormat="1" x14ac:dyDescent="0.25">
      <c r="A5" s="31" t="s">
        <v>1002</v>
      </c>
      <c r="B5" s="31" t="s">
        <v>80</v>
      </c>
      <c r="C5" s="31" t="s">
        <v>1003</v>
      </c>
      <c r="D5" s="31" t="s">
        <v>1004</v>
      </c>
      <c r="E5" s="31" t="s">
        <v>98</v>
      </c>
    </row>
    <row r="6" ht="62" customHeight="1" spans="1:5" s="31" customFormat="1" x14ac:dyDescent="0.25">
      <c r="A6" s="31" t="s">
        <v>1005</v>
      </c>
      <c r="B6" s="31" t="s">
        <v>707</v>
      </c>
      <c r="C6" s="31" t="s">
        <v>1006</v>
      </c>
      <c r="D6" s="31" t="s">
        <v>1007</v>
      </c>
      <c r="E6" s="31" t="s">
        <v>1008</v>
      </c>
    </row>
    <row r="7" ht="62" customHeight="1" spans="1:5" s="31" customFormat="1" x14ac:dyDescent="0.25">
      <c r="A7" s="31" t="s">
        <v>1009</v>
      </c>
      <c r="B7" s="31" t="s">
        <v>80</v>
      </c>
      <c r="C7" s="31" t="s">
        <v>1010</v>
      </c>
      <c r="D7" s="31" t="s">
        <v>1011</v>
      </c>
      <c r="E7" s="31" t="s">
        <v>1012</v>
      </c>
    </row>
    <row r="8" ht="48" customHeight="1" spans="1:5" s="31" customFormat="1" x14ac:dyDescent="0.25">
      <c r="A8" s="31" t="s">
        <v>1013</v>
      </c>
      <c r="B8" s="31" t="s">
        <v>707</v>
      </c>
      <c r="C8" s="31" t="s">
        <v>1014</v>
      </c>
      <c r="D8" s="31" t="s">
        <v>1015</v>
      </c>
      <c r="E8" s="31" t="s">
        <v>1016</v>
      </c>
    </row>
    <row r="9" ht="48" customHeight="1" spans="1:5" s="31" customFormat="1" x14ac:dyDescent="0.25">
      <c r="A9" s="31" t="s">
        <v>1017</v>
      </c>
      <c r="B9" s="31" t="s">
        <v>80</v>
      </c>
      <c r="C9" s="31" t="s">
        <v>1018</v>
      </c>
      <c r="D9" s="31" t="s">
        <v>1019</v>
      </c>
      <c r="E9" s="31" t="s">
        <v>285</v>
      </c>
    </row>
    <row r="10" ht="34" customHeight="1" spans="1:5" s="31" customFormat="1" x14ac:dyDescent="0.25">
      <c r="A10" s="31" t="s">
        <v>1020</v>
      </c>
      <c r="B10" s="31" t="s">
        <v>80</v>
      </c>
      <c r="C10" s="31" t="s">
        <v>1021</v>
      </c>
      <c r="D10" s="31" t="s">
        <v>1022</v>
      </c>
      <c r="E10" s="31" t="s">
        <v>878</v>
      </c>
    </row>
    <row r="11" ht="34" customHeight="1" spans="1:5" s="31" customFormat="1" x14ac:dyDescent="0.25">
      <c r="A11" s="31" t="s">
        <v>1023</v>
      </c>
      <c r="B11" s="31" t="s">
        <v>707</v>
      </c>
      <c r="C11" s="31" t="s">
        <v>1024</v>
      </c>
      <c r="D11" s="31" t="s">
        <v>1025</v>
      </c>
      <c r="E11" s="31" t="s">
        <v>913</v>
      </c>
    </row>
    <row r="12" ht="48" customHeight="1" spans="1:5" s="31" customFormat="1" x14ac:dyDescent="0.25">
      <c r="A12" s="31" t="s">
        <v>1026</v>
      </c>
      <c r="B12" s="31" t="s">
        <v>80</v>
      </c>
      <c r="C12" s="31" t="s">
        <v>1027</v>
      </c>
      <c r="D12" s="31" t="s">
        <v>1028</v>
      </c>
      <c r="E12" s="31" t="s">
        <v>1029</v>
      </c>
    </row>
    <row r="13" ht="34" customHeight="1" spans="1:5" s="31" customFormat="1" x14ac:dyDescent="0.25">
      <c r="A13" s="31" t="s">
        <v>1030</v>
      </c>
      <c r="B13" s="31" t="s">
        <v>707</v>
      </c>
      <c r="C13" s="31" t="s">
        <v>1031</v>
      </c>
      <c r="D13" s="31" t="s">
        <v>1032</v>
      </c>
      <c r="E13" s="31" t="s">
        <v>1033</v>
      </c>
    </row>
    <row r="15" spans="1:1" s="32" customFormat="1" x14ac:dyDescent="0.25">
      <c r="A15" s="32" t="s">
        <v>1034</v>
      </c>
    </row>
    <row r="16" ht="48" customHeight="1" spans="1:4" s="31" customFormat="1" x14ac:dyDescent="0.25">
      <c r="A16" s="31" t="s">
        <v>556</v>
      </c>
      <c r="B16" s="31" t="s">
        <v>556</v>
      </c>
      <c r="C16" s="33" t="s">
        <v>1035</v>
      </c>
      <c r="D16" s="31" t="s">
        <v>1036</v>
      </c>
    </row>
    <row r="17" ht="20" customHeight="1" spans="1:4" s="31" customFormat="1" x14ac:dyDescent="0.25">
      <c r="A17" s="31" t="s">
        <v>556</v>
      </c>
      <c r="B17" s="31" t="s">
        <v>556</v>
      </c>
      <c r="C17" s="33" t="s">
        <v>1037</v>
      </c>
      <c r="D17" s="31" t="s">
        <v>1038</v>
      </c>
    </row>
    <row r="18" ht="34" customHeight="1" spans="1:4" s="31" customFormat="1" x14ac:dyDescent="0.25">
      <c r="A18" s="31" t="s">
        <v>556</v>
      </c>
      <c r="B18" s="31" t="s">
        <v>556</v>
      </c>
      <c r="C18" s="33" t="s">
        <v>1039</v>
      </c>
      <c r="D18" s="31" t="s">
        <v>1040</v>
      </c>
    </row>
    <row r="19" ht="48" customHeight="1" spans="1:4" s="31" customFormat="1" x14ac:dyDescent="0.25">
      <c r="A19" s="31" t="s">
        <v>556</v>
      </c>
      <c r="B19" s="31" t="s">
        <v>556</v>
      </c>
      <c r="C19" s="33" t="s">
        <v>1041</v>
      </c>
      <c r="D19" s="31" t="s">
        <v>1042</v>
      </c>
    </row>
    <row r="20" ht="34" customHeight="1" spans="1:4" s="31" customFormat="1" x14ac:dyDescent="0.25">
      <c r="A20" s="31" t="s">
        <v>556</v>
      </c>
      <c r="B20" s="31" t="s">
        <v>556</v>
      </c>
      <c r="C20" s="33" t="s">
        <v>1043</v>
      </c>
      <c r="D20" s="31" t="s">
        <v>1044</v>
      </c>
    </row>
    <row r="21" ht="34" customHeight="1" spans="1:4" s="31" customFormat="1" x14ac:dyDescent="0.25">
      <c r="A21" s="31" t="s">
        <v>556</v>
      </c>
      <c r="B21" s="31" t="s">
        <v>556</v>
      </c>
      <c r="C21" s="33" t="s">
        <v>1045</v>
      </c>
      <c r="D21" s="31" t="s">
        <v>1046</v>
      </c>
    </row>
    <row r="22" ht="48" customHeight="1" spans="1:4" s="31" customFormat="1" x14ac:dyDescent="0.25">
      <c r="A22" s="31" t="s">
        <v>556</v>
      </c>
      <c r="B22" s="31" t="s">
        <v>556</v>
      </c>
      <c r="C22" s="33" t="s">
        <v>1047</v>
      </c>
      <c r="D22" s="31" t="s">
        <v>1048</v>
      </c>
    </row>
    <row r="23" ht="48" customHeight="1" spans="1:4" s="31" customFormat="1" x14ac:dyDescent="0.25">
      <c r="A23" s="31" t="s">
        <v>556</v>
      </c>
      <c r="B23" s="31" t="s">
        <v>556</v>
      </c>
      <c r="C23" s="33" t="s">
        <v>1049</v>
      </c>
      <c r="D23" s="31" t="s">
        <v>1050</v>
      </c>
    </row>
    <row r="24" ht="62" customHeight="1" spans="1:4" s="31" customFormat="1" x14ac:dyDescent="0.25">
      <c r="A24" s="31" t="s">
        <v>556</v>
      </c>
      <c r="B24" s="31" t="s">
        <v>556</v>
      </c>
      <c r="C24" s="33" t="s">
        <v>1051</v>
      </c>
      <c r="D24" s="31" t="s">
        <v>1052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Test Record</vt:lpstr>
      <vt:lpstr>Known Issues &amp; Setup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cp:keywords/>
  <cp:category/>
  <cp:lastModifiedBy>Vikrant Dhuriya</cp:lastModifiedBy>
  <cp:contentStatus/>
  <dcterms:created xsi:type="dcterms:W3CDTF">2026-10-05T10:11:54Z</dcterms:created>
  <dcterms:modified xsi:type="dcterms:W3CDTF">2026-10-07T06:29:53Z</dcterms:modified>
</cp:coreProperties>
</file>